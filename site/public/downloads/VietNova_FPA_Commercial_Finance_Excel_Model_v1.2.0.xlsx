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6f421a750e4d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0132c38d21d34a01"/>
    <x:sheet xmlns:r="http://schemas.openxmlformats.org/officeDocument/2006/relationships" name="01_Assumptions" sheetId="2" r:id="R796926a7c0514d3e"/>
    <x:sheet xmlns:r="http://schemas.openxmlformats.org/officeDocument/2006/relationships" name="02_Actuals" sheetId="3" r:id="Rb0711dc9fc08408d"/>
    <x:sheet xmlns:r="http://schemas.openxmlformats.org/officeDocument/2006/relationships" name="03_PnL_Variance" sheetId="4" r:id="R1850a2e77e144ce2"/>
    <x:sheet xmlns:r="http://schemas.openxmlformats.org/officeDocument/2006/relationships" name="04_Commercial" sheetId="5" r:id="Rbb0ea763a7894ea3"/>
    <x:sheet xmlns:r="http://schemas.openxmlformats.org/officeDocument/2006/relationships" name="05_Working_Capital" sheetId="6" r:id="R63e5fc776c3c4119"/>
    <x:sheet xmlns:r="http://schemas.openxmlformats.org/officeDocument/2006/relationships" name="06_Scenario" sheetId="7" r:id="R5a88122dd4ee48b7"/>
    <x:sheet xmlns:r="http://schemas.openxmlformats.org/officeDocument/2006/relationships" name="07_Forecast_Accuracy" sheetId="8" r:id="Rdd6128bf55fa4cfd"/>
    <x:sheet xmlns:r="http://schemas.openxmlformats.org/officeDocument/2006/relationships" name="08_Costing" sheetId="9" r:id="R47707b2c2b874d36"/>
    <x:sheet xmlns:r="http://schemas.openxmlformats.org/officeDocument/2006/relationships" name="09_Controls" sheetId="10" r:id="Rbc7235c18b28414c"/>
    <x:sheet xmlns:r="http://schemas.openxmlformats.org/officeDocument/2006/relationships" name="10_Skills" sheetId="11" r:id="R38afa9f6feeb404c"/>
    <x:sheet xmlns:r="http://schemas.openxmlformats.org/officeDocument/2006/relationships" name="11_Change_Log" sheetId="12" r:id="Rbc6e26412f5a44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.0000;[Red](#,##0.0000);-"/>
    <x:numFmt numFmtId="201" formatCode="0;[Red](0);-"/>
    <x:numFmt numFmtId="202" formatCode="0.0%"/>
    <x:numFmt numFmtId="203" formatCode="#,##0.0"/>
    <x:numFmt numFmtId="204" formatCode="#,##0.000;[Red](#,##0.000);-"/>
    <x:numFmt numFmtId="205" formatCode="0.0%;[Red](0.0%);-"/>
    <x:numFmt numFmtId="206" formatCode="#,##0.000"/>
    <x:numFmt numFmtId="207" formatCode="0"/>
    <x:numFmt numFmtId="208" formatCode="0.0000%"/>
    <x:numFmt numFmtId="209" formatCode="#,##0.00;[Red](#,##0.00);-"/>
    <x:numFmt numFmtId="210" formatCode="0.000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B2F4F"/>
      <x:name val="Carlito"/>
    </x:font>
    <x:font>
      <x:b/>
      <x:sz val="11"/>
      <x:color rgb="FFFFFFFF"/>
      <x:name val="Carlito"/>
    </x:font>
    <x:font>
      <x:b/>
      <x:sz val="11"/>
      <x:color rgb="FF0B2F4F"/>
      <x:name val="Carlito"/>
    </x:font>
    <x:font>
      <x:sz val="11"/>
      <x:color rgb="FF1F2937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1F2937"/>
      <x:name val="Carlito"/>
    </x:font>
    <x:font>
      <x:b/>
      <x:sz val="12"/>
      <x:color rgb="FF0B2F4F"/>
      <x:name val="Carlito"/>
    </x:font>
    <x:font>
      <x:b/>
      <x:sz val="10"/>
      <x:color rgb="FFFFFFFF"/>
      <x:name val="Carlito"/>
    </x:font>
    <x:font>
      <x:sz val="10"/>
      <x:name val="Carlito"/>
    </x:font>
    <x:font>
      <x:i/>
      <x:sz val="10"/>
      <x:color rgb="FF0B2F4F"/>
      <x:name val="Carlito"/>
    </x:font>
    <x:font>
      <x:b/>
      <x:sz val="10"/>
      <x:color rgb="FF0B2F4F"/>
      <x:name val="Carlito"/>
    </x:font>
    <x:font>
      <x:sz val="10"/>
      <x:color rgb="FF1F2937"/>
      <x:name val="Carlito"/>
    </x:font>
    <x:font>
      <x:sz val="10"/>
      <x:color rgb="FF0000FF"/>
      <x:name val="Carlito"/>
    </x:font>
    <x:font>
      <x:sz val="10"/>
      <x:color rgb="FF000000"/>
      <x:name val="Carlito"/>
    </x:font>
    <x:font>
      <x:sz val="10"/>
      <x:color rgb="FF008000"/>
      <x:name val="Carlito"/>
    </x:font>
    <x:font>
      <x:b/>
      <x:sz val="10"/>
      <x:color rgb="FF1F2937"/>
      <x:name val="Carlito"/>
    </x:font>
    <x:font>
      <x:sz val="10"/>
      <x:color rgb="FF17324A"/>
      <x:name val="Carlito"/>
    </x:font>
    <x:font>
      <x:b/>
      <x:sz val="16"/>
      <x:color rgb="FFFFFFFF"/>
      <x:name val="Carlito"/>
    </x:font>
    <x:font>
      <x:i/>
      <x:sz val="11"/>
      <x:color rgb="FF4A6578"/>
      <x:name val="Carlito"/>
    </x:font>
    <x:font>
      <x:sz val="9"/>
      <x:color rgb="FF6B553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B2F4F"/>
      </x:patternFill>
    </x:fill>
    <x:fill>
      <x:patternFill patternType="solid">
        <x:fgColor rgb="FFE7F6F5"/>
      </x:patternFill>
    </x:fill>
    <x:fill>
      <x:patternFill patternType="solid">
        <x:fgColor rgb="FF0F8B8D"/>
      </x:patternFill>
    </x:fill>
    <x:fill>
      <x:patternFill patternType="solid">
        <x:fgColor rgb="FFF6F8FA"/>
      </x:patternFill>
    </x:fill>
    <x:fill>
      <x:patternFill patternType="solid">
        <x:fgColor rgb="FFEEF4FF"/>
      </x:patternFill>
    </x:fill>
    <x:fill>
      <x:patternFill patternType="solid">
        <x:fgColor rgb="FFFFF2CC"/>
      </x:patternFill>
    </x:fill>
    <x:fill>
      <x:patternFill patternType="solid">
        <x:fgColor rgb="FF0B2F4F"/>
      </x:patternFill>
    </x:fill>
    <x:fill>
      <x:patternFill patternType="solid">
        <x:fgColor rgb="FFEEF9F8"/>
      </x:patternFill>
    </x:fill>
    <x:fill>
      <x:patternFill patternType="solid">
        <x:fgColor rgb="FFF8FBFC"/>
      </x:patternFill>
    </x:fill>
    <x:fill>
      <x:patternFill patternType="solid">
        <x:fgColor rgb="FF17324A"/>
      </x:patternFill>
    </x:fill>
    <x:fill>
      <x:patternFill patternType="solid">
        <x:fgColor rgb="FF0F8B8D"/>
      </x:patternFill>
    </x:fill>
    <x:fill>
      <x:patternFill patternType="solid">
        <x:fgColor rgb="FFDCE8EC"/>
      </x:patternFill>
    </x:fill>
    <x:fill>
      <x:patternFill patternType="solid">
        <x:fgColor rgb="FFFFF8E9"/>
      </x:patternFill>
    </x:fill>
  </x:fills>
  <x:borders count="8">
    <x:border/>
    <x:border/>
    <x:border>
      <x:left style="thin">
        <x:color rgb="FFD7E4E8"/>
      </x:left>
      <x:top style="thin">
        <x:color rgb="FFD7E4E8"/>
      </x:top>
    </x:border>
    <x:border>
      <x:right style="thin">
        <x:color rgb="FFD7E4E8"/>
      </x:right>
      <x:top style="thin">
        <x:color rgb="FFD7E4E8"/>
      </x:top>
    </x:border>
    <x:border>
      <x:left style="thin">
        <x:color rgb="FFD7E4E8"/>
      </x:left>
    </x:border>
    <x:border>
      <x:right style="thin">
        <x:color rgb="FFD7E4E8"/>
      </x:right>
    </x:border>
    <x:border>
      <x:left style="thin">
        <x:color rgb="FFD7E4E8"/>
      </x:left>
      <x:bottom style="thin">
        <x:color rgb="FFD7E4E8"/>
      </x:bottom>
    </x:border>
    <x:border>
      <x:right style="thin">
        <x:color rgb="FFD7E4E8"/>
      </x:right>
      <x:bottom style="thin">
        <x:color rgb="FFD7E4E8"/>
      </x:bottom>
    </x:border>
  </x:borders>
  <x:cellStyleXfs count="1">
    <x:xf numFmtId="0" fontId="0" fillId="0" borderId="0"/>
  </x:cellStyleXfs>
  <x:cellXfs count="3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200" fontId="6" fillId="6" borderId="0" xfId="0" applyNumberFormat="1" applyFont="1" applyFill="1" applyBorder="1"/>
    <x:xf numFmtId="200" fontId="6" fillId="6" borderId="1" xfId="0" applyNumberFormat="1" applyFont="1" applyFill="1" applyBorder="1"/>
    <x:xf numFmtId="201" fontId="6" fillId="6" borderId="0" xfId="0" applyNumberFormat="1" applyFont="1" applyFill="1" applyBorder="1"/>
    <x:xf numFmtId="201" fontId="6" fillId="6" borderId="1" xfId="0" applyNumberFormat="1" applyFont="1" applyFill="1" applyBorder="1"/>
    <x:xf numFmtId="202" fontId="6" fillId="6" borderId="0" xfId="0" applyNumberFormat="1" applyFont="1" applyFill="1" applyBorder="1"/>
    <x:xf numFmtId="202" fontId="6" fillId="6" borderId="1" xfId="0" applyNumberFormat="1" applyFont="1" applyFill="1" applyBorder="1"/>
    <x:xf numFmtId="203" fontId="6" fillId="6" borderId="0" xfId="0" applyNumberFormat="1" applyFont="1" applyFill="1" applyBorder="1"/>
    <x:xf numFmtId="203" fontId="6" fillId="6" borderId="1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204" fontId="6" fillId="6" borderId="0" xfId="0" applyNumberFormat="1" applyFont="1" applyFill="1" applyBorder="1"/>
    <x:xf numFmtId="204" fontId="6" fillId="6" borderId="1" xfId="0" applyNumberFormat="1" applyFont="1" applyFill="1" applyBorder="1"/>
    <x:xf numFmtId="204" fontId="7" fillId="0" borderId="0" xfId="0" applyNumberFormat="1" applyFont="1" applyFill="1" applyBorder="1"/>
    <x:xf numFmtId="204" fontId="7" fillId="0" borderId="1" xfId="0" applyNumberFormat="1" applyFont="1" applyFill="1" applyBorder="1"/>
    <x:xf numFmtId="205" fontId="7" fillId="0" borderId="0" xfId="0" applyNumberFormat="1" applyFont="1" applyFill="1" applyBorder="1"/>
    <x:xf numFmtId="205" fontId="6" fillId="6" borderId="0" xfId="0" applyNumberFormat="1" applyFont="1" applyFill="1" applyBorder="1"/>
    <x:xf numFmtId="205" fontId="7" fillId="0" borderId="1" xfId="0" applyNumberFormat="1" applyFont="1" applyFill="1" applyBorder="1"/>
    <x:xf numFmtId="205" fontId="6" fillId="6" borderId="1" xfId="0" applyNumberFormat="1" applyFont="1" applyFill="1" applyBorder="1"/>
    <x:xf numFmtId="204" fontId="4" fillId="3" borderId="0" xfId="0" applyNumberFormat="1" applyFont="1" applyFill="1" applyBorder="1"/>
    <x:xf numFmtId="204" fontId="4" fillId="3" borderId="1" xfId="0" applyNumberFormat="1" applyFont="1" applyFill="1" applyBorder="1"/>
    <x:xf numFmtId="205" fontId="4" fillId="3" borderId="0" xfId="0" applyNumberFormat="1" applyFont="1" applyFill="1" applyBorder="1"/>
    <x:xf numFmtId="205" fontId="4" fillId="3" borderId="1" xfId="0" applyNumberFormat="1" applyFont="1" applyFill="1" applyBorder="1"/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204" fontId="8" fillId="0" borderId="0" xfId="0" applyNumberFormat="1" applyFont="1" applyFill="1" applyBorder="1"/>
    <x:xf numFmtId="204" fontId="8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206" fontId="7" fillId="0" borderId="0" xfId="0" applyNumberFormat="1" applyFont="1" applyFill="1" applyBorder="1"/>
    <x:xf numFmtId="206" fontId="7" fillId="0" borderId="1" xfId="0" applyNumberFormat="1" applyFont="1" applyFill="1" applyBorder="1"/>
    <x:xf numFmtId="202" fontId="7" fillId="0" borderId="0" xfId="0" applyNumberFormat="1" applyFont="1" applyFill="1" applyBorder="1"/>
    <x:xf numFmtId="202" fontId="7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7" fillId="0" borderId="0" xfId="0" applyNumberFormat="1" applyFont="1" applyFill="1" applyBorder="1"/>
    <x:xf numFmtId="200" fontId="7" fillId="0" borderId="1" xfId="0" applyNumberFormat="1" applyFont="1" applyFill="1" applyBorder="1"/>
    <x:xf numFmtId="207" fontId="7" fillId="0" borderId="0" xfId="0" applyNumberFormat="1" applyFont="1" applyFill="1" applyBorder="1"/>
    <x:xf numFmtId="207" fontId="7" fillId="0" borderId="1" xfId="0" applyNumberFormat="1" applyFont="1" applyFill="1" applyBorder="1"/>
    <x:xf numFmtId="208" fontId="6" fillId="6" borderId="0" xfId="0" applyNumberFormat="1" applyFont="1" applyFill="1" applyBorder="1"/>
    <x:xf numFmtId="208" fontId="6" fillId="6" borderId="1" xfId="0" applyNumberFormat="1" applyFont="1" applyFill="1" applyBorder="1"/>
    <x:xf numFmtId="209" fontId="6" fillId="6" borderId="0" xfId="0" applyNumberFormat="1" applyFont="1" applyFill="1" applyBorder="1"/>
    <x:xf numFmtId="209" fontId="6" fillId="6" borderId="1" xfId="0" applyNumberFormat="1" applyFont="1" applyFill="1" applyBorder="1"/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3" borderId="1" xfId="0" applyNumberFormat="1" applyFont="1" applyFill="1" applyBorder="1"/>
    <x:xf numFmtId="0" fontId="10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3" borderId="0" xfId="0" applyNumberFormat="1" applyFont="1" applyFill="1" applyBorder="1" applyAlignment="1">
      <x:alignment vertical="center" wrapText="0"/>
    </x:xf>
    <x:xf numFmtId="0" fontId="3" fillId="4" borderId="0" xfId="0" applyNumberFormat="1" applyFont="1" applyFill="1" applyBorder="1" applyAlignment="1">
      <x:alignment horizontal="center" vertical="center" wrapText="0"/>
    </x:xf>
    <x:xf numFmtId="0" fontId="5" fillId="5" borderId="0" xfId="0" applyNumberFormat="1" applyFont="1" applyFill="1" applyBorder="1" applyAlignment="1">
      <x:alignment vertical="center" wrapText="0"/>
    </x:xf>
    <x:xf numFmtId="0" fontId="1" fillId="2" borderId="1" xfId="0" applyNumberFormat="1" applyFont="1" applyFill="1" applyBorder="1" applyAlignment="1">
      <x:alignment vertical="center" wrapText="0"/>
    </x:xf>
    <x:xf numFmtId="0" fontId="0" fillId="0" borderId="1" xfId="0" applyNumberFormat="1" applyFont="1" applyFill="1" applyBorder="1" applyAlignment="1">
      <x:alignment vertical="center" wrapText="0"/>
    </x:xf>
    <x:xf numFmtId="0" fontId="2" fillId="3" borderId="1" xfId="0" applyNumberFormat="1" applyFont="1" applyFill="1" applyBorder="1" applyAlignment="1">
      <x:alignment vertical="center" wrapText="0"/>
    </x:xf>
    <x:xf numFmtId="0" fontId="3" fillId="2" borderId="1" xfId="0" applyNumberFormat="1" applyFont="1" applyFill="1" applyBorder="1" applyAlignment="1">
      <x:alignment vertical="center" wrapText="0"/>
    </x:xf>
    <x:xf numFmtId="0" fontId="4" fillId="3" borderId="1" xfId="0" applyNumberFormat="1" applyFont="1" applyFill="1" applyBorder="1" applyAlignment="1">
      <x:alignment vertical="center" wrapText="0"/>
    </x:xf>
    <x:xf numFmtId="0" fontId="3" fillId="4" borderId="1" xfId="0" applyNumberFormat="1" applyFont="1" applyFill="1" applyBorder="1" applyAlignment="1">
      <x:alignment horizontal="center" vertical="center" wrapText="0"/>
    </x:xf>
    <x:xf numFmtId="0" fontId="5" fillId="5" borderId="1" xfId="0" applyNumberFormat="1" applyFont="1" applyFill="1" applyBorder="1" applyAlignment="1">
      <x:alignment vertical="center" wrapText="0"/>
    </x:xf>
    <x:xf numFmtId="0" fontId="4" fillId="3" borderId="0" xfId="0" applyNumberFormat="1" applyFont="1" applyFill="1" applyBorder="1" applyAlignment="1">
      <x:alignment vertical="center"/>
    </x:xf>
    <x:xf numFmtId="200" fontId="6" fillId="6" borderId="0" xfId="0" applyNumberFormat="1" applyFont="1" applyFill="1" applyBorder="1" applyAlignment="1">
      <x:alignment vertical="center"/>
    </x:xf>
    <x:xf numFmtId="201" fontId="6" fillId="6" borderId="0" xfId="0" applyNumberFormat="1" applyFont="1" applyFill="1" applyBorder="1" applyAlignment="1">
      <x:alignment vertical="center"/>
    </x:xf>
    <x:xf numFmtId="202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200" fontId="6" fillId="6" borderId="1" xfId="0" applyNumberFormat="1" applyFont="1" applyFill="1" applyBorder="1" applyAlignment="1">
      <x:alignment vertical="center"/>
    </x:xf>
    <x:xf numFmtId="201" fontId="6" fillId="6" borderId="1" xfId="0" applyNumberFormat="1" applyFont="1" applyFill="1" applyBorder="1" applyAlignment="1">
      <x:alignment vertical="center"/>
    </x:xf>
    <x:xf numFmtId="202" fontId="6" fillId="6" borderId="1" xfId="0" applyNumberFormat="1" applyFont="1" applyFill="1" applyBorder="1" applyAlignment="1">
      <x:alignment vertical="center"/>
    </x:xf>
    <x:xf numFmtId="203" fontId="6" fillId="6" borderId="1" xfId="0" applyNumberFormat="1" applyFont="1" applyFill="1" applyBorder="1" applyAlignment="1">
      <x:alignment vertical="center"/>
    </x:xf>
    <x:xf numFmtId="200" fontId="6" fillId="6" borderId="0" xfId="0" applyNumberFormat="1" applyFont="1" applyFill="1" applyBorder="1" applyAlignment="1">
      <x:alignment vertical="center" wrapText="0"/>
    </x:xf>
    <x:xf numFmtId="201" fontId="6" fillId="6" borderId="0" xfId="0" applyNumberFormat="1" applyFont="1" applyFill="1" applyBorder="1" applyAlignment="1">
      <x:alignment vertical="center" wrapText="0"/>
    </x:xf>
    <x:xf numFmtId="202" fontId="6" fillId="6" borderId="0" xfId="0" applyNumberFormat="1" applyFont="1" applyFill="1" applyBorder="1" applyAlignment="1">
      <x:alignment vertical="center" wrapText="0"/>
    </x:xf>
    <x:xf numFmtId="203" fontId="6" fillId="6" borderId="0" xfId="0" applyNumberFormat="1" applyFont="1" applyFill="1" applyBorder="1" applyAlignment="1">
      <x:alignment vertical="center" wrapText="0"/>
    </x:xf>
    <x:xf numFmtId="200" fontId="6" fillId="6" borderId="1" xfId="0" applyNumberFormat="1" applyFont="1" applyFill="1" applyBorder="1" applyAlignment="1">
      <x:alignment vertical="center" wrapText="0"/>
    </x:xf>
    <x:xf numFmtId="201" fontId="6" fillId="6" borderId="1" xfId="0" applyNumberFormat="1" applyFont="1" applyFill="1" applyBorder="1" applyAlignment="1">
      <x:alignment vertical="center" wrapText="0"/>
    </x:xf>
    <x:xf numFmtId="202" fontId="6" fillId="6" borderId="1" xfId="0" applyNumberFormat="1" applyFont="1" applyFill="1" applyBorder="1" applyAlignment="1">
      <x:alignment vertical="center" wrapText="0"/>
    </x:xf>
    <x:xf numFmtId="203" fontId="6" fillId="6" borderId="1" xfId="0" applyNumberFormat="1" applyFont="1" applyFill="1" applyBorder="1" applyAlignment="1">
      <x:alignment vertical="center" wrapText="0"/>
    </x:xf>
    <x:xf numFmtId="204" fontId="6" fillId="6" borderId="0" xfId="0" applyNumberFormat="1" applyFont="1" applyFill="1" applyBorder="1" applyAlignment="1">
      <x:alignment vertical="center"/>
    </x:xf>
    <x:xf numFmtId="205" fontId="7" fillId="0" borderId="0" xfId="0" applyNumberFormat="1" applyFont="1" applyFill="1" applyBorder="1" applyAlignment="1">
      <x:alignment vertical="center"/>
    </x:xf>
    <x:xf numFmtId="205" fontId="6" fillId="6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205" fontId="4" fillId="3" borderId="0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5" fontId="7" fillId="0" borderId="1" xfId="0" applyNumberFormat="1" applyFont="1" applyFill="1" applyBorder="1" applyAlignment="1">
      <x:alignment vertical="center"/>
    </x:xf>
    <x:xf numFmtId="205" fontId="6" fillId="6" borderId="1" xfId="0" applyNumberFormat="1" applyFont="1" applyFill="1" applyBorder="1" applyAlignment="1">
      <x:alignment vertical="center"/>
    </x:xf>
    <x:xf numFmtId="204" fontId="7" fillId="0" borderId="1" xfId="0" applyNumberFormat="1" applyFont="1" applyFill="1" applyBorder="1" applyAlignment="1">
      <x:alignment vertical="center"/>
    </x:xf>
    <x:xf numFmtId="204" fontId="4" fillId="3" borderId="1" xfId="0" applyNumberFormat="1" applyFont="1" applyFill="1" applyBorder="1" applyAlignment="1">
      <x:alignment vertical="center"/>
    </x:xf>
    <x:xf numFmtId="205" fontId="4" fillId="3" borderId="1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 wrapText="0"/>
    </x:xf>
    <x:xf numFmtId="205" fontId="7" fillId="0" borderId="0" xfId="0" applyNumberFormat="1" applyFont="1" applyFill="1" applyBorder="1" applyAlignment="1">
      <x:alignment vertical="center" wrapText="0"/>
    </x:xf>
    <x:xf numFmtId="205" fontId="6" fillId="6" borderId="0" xfId="0" applyNumberFormat="1" applyFont="1" applyFill="1" applyBorder="1" applyAlignment="1">
      <x:alignment vertical="center" wrapText="0"/>
    </x:xf>
    <x:xf numFmtId="204" fontId="7" fillId="0" borderId="0" xfId="0" applyNumberFormat="1" applyFont="1" applyFill="1" applyBorder="1" applyAlignment="1">
      <x:alignment vertical="center" wrapText="0"/>
    </x:xf>
    <x:xf numFmtId="204" fontId="4" fillId="3" borderId="0" xfId="0" applyNumberFormat="1" applyFont="1" applyFill="1" applyBorder="1" applyAlignment="1">
      <x:alignment vertical="center" wrapText="0"/>
    </x:xf>
    <x:xf numFmtId="205" fontId="4" fillId="3" borderId="0" xfId="0" applyNumberFormat="1" applyFont="1" applyFill="1" applyBorder="1" applyAlignment="1">
      <x:alignment vertical="center" wrapText="0"/>
    </x:xf>
    <x:xf numFmtId="204" fontId="6" fillId="6" borderId="1" xfId="0" applyNumberFormat="1" applyFont="1" applyFill="1" applyBorder="1" applyAlignment="1">
      <x:alignment vertical="center" wrapText="0"/>
    </x:xf>
    <x:xf numFmtId="205" fontId="7" fillId="0" borderId="1" xfId="0" applyNumberFormat="1" applyFont="1" applyFill="1" applyBorder="1" applyAlignment="1">
      <x:alignment vertical="center" wrapText="0"/>
    </x:xf>
    <x:xf numFmtId="205" fontId="6" fillId="6" borderId="1" xfId="0" applyNumberFormat="1" applyFont="1" applyFill="1" applyBorder="1" applyAlignment="1">
      <x:alignment vertical="center" wrapText="0"/>
    </x:xf>
    <x:xf numFmtId="204" fontId="7" fillId="0" borderId="1" xfId="0" applyNumberFormat="1" applyFont="1" applyFill="1" applyBorder="1" applyAlignment="1">
      <x:alignment vertical="center" wrapText="0"/>
    </x:xf>
    <x:xf numFmtId="204" fontId="4" fillId="3" borderId="1" xfId="0" applyNumberFormat="1" applyFont="1" applyFill="1" applyBorder="1" applyAlignment="1">
      <x:alignment vertical="center" wrapText="0"/>
    </x:xf>
    <x:xf numFmtId="205" fontId="4" fillId="3" borderId="1" xfId="0" applyNumberFormat="1" applyFont="1" applyFill="1" applyBorder="1" applyAlignment="1">
      <x:alignment vertical="center" wrapText="0"/>
    </x:xf>
    <x:xf numFmtId="0" fontId="6" fillId="6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204" fontId="8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205" fontId="0" fillId="0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 wrapText="0"/>
    </x:xf>
    <x:xf numFmtId="204" fontId="8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204" fontId="0" fillId="0" borderId="0" xfId="0" applyNumberFormat="1" applyFont="1" applyFill="1" applyBorder="1" applyAlignment="1">
      <x:alignment vertical="center" wrapText="0"/>
    </x:xf>
    <x:xf numFmtId="205" fontId="0" fillId="0" borderId="0" xfId="0" applyNumberFormat="1" applyFont="1" applyFill="1" applyBorder="1" applyAlignment="1">
      <x:alignment vertical="center" wrapText="0"/>
    </x:xf>
    <x:xf numFmtId="0" fontId="6" fillId="6" borderId="1" xfId="0" applyNumberFormat="1" applyFont="1" applyFill="1" applyBorder="1" applyAlignment="1">
      <x:alignment vertical="center" wrapText="0"/>
    </x:xf>
    <x:xf numFmtId="0" fontId="8" fillId="0" borderId="1" xfId="0" applyNumberFormat="1" applyFont="1" applyFill="1" applyBorder="1" applyAlignment="1">
      <x:alignment vertical="center" wrapText="0"/>
    </x:xf>
    <x:xf numFmtId="204" fontId="8" fillId="0" borderId="1" xfId="0" applyNumberFormat="1" applyFont="1" applyFill="1" applyBorder="1" applyAlignment="1">
      <x:alignment vertical="center" wrapText="0"/>
    </x:xf>
    <x:xf numFmtId="0" fontId="7" fillId="0" borderId="1" xfId="0" applyNumberFormat="1" applyFont="1" applyFill="1" applyBorder="1" applyAlignment="1">
      <x:alignment vertical="center" wrapText="0"/>
    </x:xf>
    <x:xf numFmtId="204" fontId="0" fillId="0" borderId="1" xfId="0" applyNumberFormat="1" applyFont="1" applyFill="1" applyBorder="1" applyAlignment="1">
      <x:alignment vertical="center" wrapText="0"/>
    </x:xf>
    <x:xf numFmtId="205" fontId="0" fillId="0" borderId="1" xfId="0" applyNumberFormat="1" applyFont="1" applyFill="1" applyBorder="1" applyAlignment="1">
      <x:alignment vertical="center" wrapText="0"/>
    </x:xf>
    <x:xf numFmtId="206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6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6" fontId="7" fillId="0" borderId="0" xfId="0" applyNumberFormat="1" applyFont="1" applyFill="1" applyBorder="1" applyAlignment="1">
      <x:alignment vertical="center" wrapText="0"/>
    </x:xf>
    <x:xf numFmtId="202" fontId="7" fillId="0" borderId="0" xfId="0" applyNumberFormat="1" applyFont="1" applyFill="1" applyBorder="1" applyAlignment="1">
      <x:alignment vertical="center" wrapText="0"/>
    </x:xf>
    <x:xf numFmtId="202" fontId="0" fillId="0" borderId="0" xfId="0" applyNumberFormat="1" applyFont="1" applyFill="1" applyBorder="1" applyAlignment="1">
      <x:alignment vertical="center" wrapText="0"/>
    </x:xf>
    <x:xf numFmtId="206" fontId="7" fillId="0" borderId="1" xfId="0" applyNumberFormat="1" applyFont="1" applyFill="1" applyBorder="1" applyAlignment="1">
      <x:alignment vertical="center" wrapText="0"/>
    </x:xf>
    <x:xf numFmtId="202" fontId="7" fillId="0" borderId="1" xfId="0" applyNumberFormat="1" applyFont="1" applyFill="1" applyBorder="1" applyAlignment="1">
      <x:alignment vertical="center" wrapText="0"/>
    </x:xf>
    <x:xf numFmtId="202" fontId="0" fillId="0" borderId="1" xfId="0" applyNumberFormat="1" applyFont="1" applyFill="1" applyBorder="1" applyAlignment="1">
      <x:alignment vertical="center" wrapText="0"/>
    </x:xf>
    <x:xf numFmtId="200" fontId="7" fillId="0" borderId="0" xfId="0" applyNumberFormat="1" applyFont="1" applyFill="1" applyBorder="1" applyAlignment="1">
      <x:alignment vertical="center"/>
    </x:xf>
    <x:xf numFmtId="207" fontId="7" fillId="0" borderId="0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7" fontId="7" fillId="0" borderId="1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 wrapText="0"/>
    </x:xf>
    <x:xf numFmtId="207" fontId="7" fillId="0" borderId="0" xfId="0" applyNumberFormat="1" applyFont="1" applyFill="1" applyBorder="1" applyAlignment="1">
      <x:alignment vertical="center" wrapText="0"/>
    </x:xf>
    <x:xf numFmtId="200" fontId="7" fillId="0" borderId="1" xfId="0" applyNumberFormat="1" applyFont="1" applyFill="1" applyBorder="1" applyAlignment="1">
      <x:alignment vertical="center" wrapText="0"/>
    </x:xf>
    <x:xf numFmtId="207" fontId="7" fillId="0" borderId="1" xfId="0" applyNumberFormat="1" applyFont="1" applyFill="1" applyBorder="1" applyAlignment="1">
      <x:alignment vertical="center" wrapText="0"/>
    </x:xf>
    <x:xf numFmtId="208" fontId="6" fillId="6" borderId="0" xfId="0" applyNumberFormat="1" applyFont="1" applyFill="1" applyBorder="1" applyAlignment="1">
      <x:alignment vertical="center"/>
    </x:xf>
    <x:xf numFmtId="209" fontId="6" fillId="6" borderId="0" xfId="0" applyNumberFormat="1" applyFont="1" applyFill="1" applyBorder="1" applyAlignment="1">
      <x:alignment vertical="center"/>
    </x:xf>
    <x:xf numFmtId="208" fontId="6" fillId="6" borderId="1" xfId="0" applyNumberFormat="1" applyFont="1" applyFill="1" applyBorder="1" applyAlignment="1">
      <x:alignment vertical="center"/>
    </x:xf>
    <x:xf numFmtId="209" fontId="6" fillId="6" borderId="1" xfId="0" applyNumberFormat="1" applyFont="1" applyFill="1" applyBorder="1" applyAlignment="1">
      <x:alignment vertical="center"/>
    </x:xf>
    <x:xf numFmtId="208" fontId="6" fillId="6" borderId="0" xfId="0" applyNumberFormat="1" applyFont="1" applyFill="1" applyBorder="1" applyAlignment="1">
      <x:alignment vertical="center" wrapText="0"/>
    </x:xf>
    <x:xf numFmtId="209" fontId="6" fillId="6" borderId="0" xfId="0" applyNumberFormat="1" applyFont="1" applyFill="1" applyBorder="1" applyAlignment="1">
      <x:alignment vertical="center" wrapText="0"/>
    </x:xf>
    <x:xf numFmtId="208" fontId="6" fillId="6" borderId="1" xfId="0" applyNumberFormat="1" applyFont="1" applyFill="1" applyBorder="1" applyAlignment="1">
      <x:alignment vertical="center" wrapText="0"/>
    </x:xf>
    <x:xf numFmtId="209" fontId="6" fillId="6" borderId="1" xfId="0" applyNumberFormat="1" applyFont="1" applyFill="1" applyBorder="1" applyAlignment="1">
      <x:alignment vertical="center" wrapText="0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10" fillId="3" borderId="0" xfId="0" applyNumberFormat="1" applyFont="1" applyFill="1" applyBorder="1" applyAlignment="1">
      <x:alignment vertical="center" wrapText="1"/>
    </x:xf>
    <x:xf numFmtId="0" fontId="10" fillId="3" borderId="1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vertical="center" wrapText="0"/>
    </x:xf>
    <x:xf numFmtId="0" fontId="10" fillId="3" borderId="1" xfId="0" applyNumberFormat="1" applyFont="1" applyFill="1" applyBorder="1" applyAlignment="1">
      <x:alignment vertical="center" wrapText="0"/>
    </x:xf>
    <x:xf numFmtId="0" fontId="11" fillId="2" borderId="0" xfId="0" applyNumberFormat="1" applyFont="1" applyFill="1" applyBorder="1" applyAlignment="1">
      <x:alignment vertical="center" wrapText="0"/>
    </x:xf>
    <x:xf numFmtId="0" fontId="12" fillId="0" borderId="0" xfId="0" applyNumberFormat="1" applyFont="1" applyFill="1" applyBorder="1" applyAlignment="1">
      <x:alignment vertical="center" wrapText="0"/>
    </x:xf>
    <x:xf numFmtId="0" fontId="13" fillId="3" borderId="0" xfId="0" applyNumberFormat="1" applyFont="1" applyFill="1" applyBorder="1" applyAlignment="1">
      <x:alignment vertical="center" wrapText="0"/>
    </x:xf>
    <x:xf numFmtId="0" fontId="14" fillId="3" borderId="0" xfId="0" applyNumberFormat="1" applyFont="1" applyFill="1" applyBorder="1" applyAlignment="1">
      <x:alignment vertical="center" wrapText="0"/>
    </x:xf>
    <x:xf numFmtId="0" fontId="11" fillId="4" borderId="0" xfId="0" applyNumberFormat="1" applyFont="1" applyFill="1" applyBorder="1" applyAlignment="1">
      <x:alignment horizontal="center" vertical="center" wrapText="0"/>
    </x:xf>
    <x:xf numFmtId="0" fontId="15" fillId="5" borderId="0" xfId="0" applyNumberFormat="1" applyFont="1" applyFill="1" applyBorder="1" applyAlignment="1">
      <x:alignment vertical="center" wrapText="0"/>
    </x:xf>
    <x:xf numFmtId="0" fontId="11" fillId="2" borderId="1" xfId="0" applyNumberFormat="1" applyFont="1" applyFill="1" applyBorder="1" applyAlignment="1">
      <x:alignment vertical="center" wrapText="0"/>
    </x:xf>
    <x:xf numFmtId="0" fontId="12" fillId="0" borderId="1" xfId="0" applyNumberFormat="1" applyFont="1" applyFill="1" applyBorder="1" applyAlignment="1">
      <x:alignment vertical="center" wrapText="0"/>
    </x:xf>
    <x:xf numFmtId="0" fontId="13" fillId="3" borderId="1" xfId="0" applyNumberFormat="1" applyFont="1" applyFill="1" applyBorder="1" applyAlignment="1">
      <x:alignment vertical="center" wrapText="0"/>
    </x:xf>
    <x:xf numFmtId="0" fontId="14" fillId="3" borderId="1" xfId="0" applyNumberFormat="1" applyFont="1" applyFill="1" applyBorder="1" applyAlignment="1">
      <x:alignment vertical="center" wrapText="0"/>
    </x:xf>
    <x:xf numFmtId="0" fontId="11" fillId="4" borderId="1" xfId="0" applyNumberFormat="1" applyFont="1" applyFill="1" applyBorder="1" applyAlignment="1">
      <x:alignment horizontal="center" vertical="center" wrapText="0"/>
    </x:xf>
    <x:xf numFmtId="0" fontId="15" fillId="5" borderId="1" xfId="0" applyNumberFormat="1" applyFont="1" applyFill="1" applyBorder="1" applyAlignment="1">
      <x:alignment vertical="center" wrapText="0"/>
    </x:xf>
    <x:xf numFmtId="200" fontId="16" fillId="6" borderId="0" xfId="0" applyNumberFormat="1" applyFont="1" applyFill="1" applyBorder="1" applyAlignment="1">
      <x:alignment vertical="center" wrapText="0"/>
    </x:xf>
    <x:xf numFmtId="201" fontId="16" fillId="6" borderId="0" xfId="0" applyNumberFormat="1" applyFont="1" applyFill="1" applyBorder="1" applyAlignment="1">
      <x:alignment vertical="center" wrapText="0"/>
    </x:xf>
    <x:xf numFmtId="202" fontId="16" fillId="6" borderId="0" xfId="0" applyNumberFormat="1" applyFont="1" applyFill="1" applyBorder="1" applyAlignment="1">
      <x:alignment vertical="center" wrapText="0"/>
    </x:xf>
    <x:xf numFmtId="203" fontId="16" fillId="6" borderId="0" xfId="0" applyNumberFormat="1" applyFont="1" applyFill="1" applyBorder="1" applyAlignment="1">
      <x:alignment vertical="center" wrapText="0"/>
    </x:xf>
    <x:xf numFmtId="200" fontId="16" fillId="6" borderId="1" xfId="0" applyNumberFormat="1" applyFont="1" applyFill="1" applyBorder="1" applyAlignment="1">
      <x:alignment vertical="center" wrapText="0"/>
    </x:xf>
    <x:xf numFmtId="201" fontId="16" fillId="6" borderId="1" xfId="0" applyNumberFormat="1" applyFont="1" applyFill="1" applyBorder="1" applyAlignment="1">
      <x:alignment vertical="center" wrapText="0"/>
    </x:xf>
    <x:xf numFmtId="202" fontId="16" fillId="6" borderId="1" xfId="0" applyNumberFormat="1" applyFont="1" applyFill="1" applyBorder="1" applyAlignment="1">
      <x:alignment vertical="center" wrapText="0"/>
    </x:xf>
    <x:xf numFmtId="203" fontId="16" fillId="6" borderId="1" xfId="0" applyNumberFormat="1" applyFont="1" applyFill="1" applyBorder="1" applyAlignment="1">
      <x:alignment vertical="center" wrapText="0"/>
    </x:xf>
    <x:xf numFmtId="204" fontId="16" fillId="6" borderId="0" xfId="0" applyNumberFormat="1" applyFont="1" applyFill="1" applyBorder="1" applyAlignment="1">
      <x:alignment vertical="center" wrapText="0"/>
    </x:xf>
    <x:xf numFmtId="205" fontId="17" fillId="0" borderId="0" xfId="0" applyNumberFormat="1" applyFont="1" applyFill="1" applyBorder="1" applyAlignment="1">
      <x:alignment vertical="center" wrapText="0"/>
    </x:xf>
    <x:xf numFmtId="205" fontId="16" fillId="6" borderId="0" xfId="0" applyNumberFormat="1" applyFont="1" applyFill="1" applyBorder="1" applyAlignment="1">
      <x:alignment vertical="center" wrapText="0"/>
    </x:xf>
    <x:xf numFmtId="204" fontId="17" fillId="0" borderId="0" xfId="0" applyNumberFormat="1" applyFont="1" applyFill="1" applyBorder="1" applyAlignment="1">
      <x:alignment vertical="center" wrapText="0"/>
    </x:xf>
    <x:xf numFmtId="204" fontId="14" fillId="3" borderId="0" xfId="0" applyNumberFormat="1" applyFont="1" applyFill="1" applyBorder="1" applyAlignment="1">
      <x:alignment vertical="center" wrapText="0"/>
    </x:xf>
    <x:xf numFmtId="205" fontId="14" fillId="3" borderId="0" xfId="0" applyNumberFormat="1" applyFont="1" applyFill="1" applyBorder="1" applyAlignment="1">
      <x:alignment vertical="center" wrapText="0"/>
    </x:xf>
    <x:xf numFmtId="204" fontId="16" fillId="6" borderId="1" xfId="0" applyNumberFormat="1" applyFont="1" applyFill="1" applyBorder="1" applyAlignment="1">
      <x:alignment vertical="center" wrapText="0"/>
    </x:xf>
    <x:xf numFmtId="205" fontId="17" fillId="0" borderId="1" xfId="0" applyNumberFormat="1" applyFont="1" applyFill="1" applyBorder="1" applyAlignment="1">
      <x:alignment vertical="center" wrapText="0"/>
    </x:xf>
    <x:xf numFmtId="205" fontId="16" fillId="6" borderId="1" xfId="0" applyNumberFormat="1" applyFont="1" applyFill="1" applyBorder="1" applyAlignment="1">
      <x:alignment vertical="center" wrapText="0"/>
    </x:xf>
    <x:xf numFmtId="204" fontId="17" fillId="0" borderId="1" xfId="0" applyNumberFormat="1" applyFont="1" applyFill="1" applyBorder="1" applyAlignment="1">
      <x:alignment vertical="center" wrapText="0"/>
    </x:xf>
    <x:xf numFmtId="204" fontId="14" fillId="3" borderId="1" xfId="0" applyNumberFormat="1" applyFont="1" applyFill="1" applyBorder="1" applyAlignment="1">
      <x:alignment vertical="center" wrapText="0"/>
    </x:xf>
    <x:xf numFmtId="205" fontId="14" fillId="3" borderId="1" xfId="0" applyNumberFormat="1" applyFont="1" applyFill="1" applyBorder="1" applyAlignment="1">
      <x:alignment vertical="center" wrapText="0"/>
    </x:xf>
    <x:xf numFmtId="0" fontId="16" fillId="6" borderId="0" xfId="0" applyNumberFormat="1" applyFont="1" applyFill="1" applyBorder="1" applyAlignment="1">
      <x:alignment vertical="center" wrapText="0"/>
    </x:xf>
    <x:xf numFmtId="0" fontId="18" fillId="0" borderId="0" xfId="0" applyNumberFormat="1" applyFont="1" applyFill="1" applyBorder="1" applyAlignment="1">
      <x:alignment vertical="center" wrapText="0"/>
    </x:xf>
    <x:xf numFmtId="204" fontId="18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 wrapText="0"/>
    </x:xf>
    <x:xf numFmtId="204" fontId="12" fillId="0" borderId="0" xfId="0" applyNumberFormat="1" applyFont="1" applyFill="1" applyBorder="1" applyAlignment="1">
      <x:alignment vertical="center" wrapText="0"/>
    </x:xf>
    <x:xf numFmtId="205" fontId="12" fillId="0" borderId="0" xfId="0" applyNumberFormat="1" applyFont="1" applyFill="1" applyBorder="1" applyAlignment="1">
      <x:alignment vertical="center" wrapText="0"/>
    </x:xf>
    <x:xf numFmtId="0" fontId="16" fillId="6" borderId="1" xfId="0" applyNumberFormat="1" applyFont="1" applyFill="1" applyBorder="1" applyAlignment="1">
      <x:alignment vertical="center" wrapText="0"/>
    </x:xf>
    <x:xf numFmtId="0" fontId="18" fillId="0" borderId="1" xfId="0" applyNumberFormat="1" applyFont="1" applyFill="1" applyBorder="1" applyAlignment="1">
      <x:alignment vertical="center" wrapText="0"/>
    </x:xf>
    <x:xf numFmtId="204" fontId="18" fillId="0" borderId="1" xfId="0" applyNumberFormat="1" applyFont="1" applyFill="1" applyBorder="1" applyAlignment="1">
      <x:alignment vertical="center" wrapText="0"/>
    </x:xf>
    <x:xf numFmtId="0" fontId="17" fillId="0" borderId="1" xfId="0" applyNumberFormat="1" applyFont="1" applyFill="1" applyBorder="1" applyAlignment="1">
      <x:alignment vertical="center" wrapText="0"/>
    </x:xf>
    <x:xf numFmtId="204" fontId="12" fillId="0" borderId="1" xfId="0" applyNumberFormat="1" applyFont="1" applyFill="1" applyBorder="1" applyAlignment="1">
      <x:alignment vertical="center" wrapText="0"/>
    </x:xf>
    <x:xf numFmtId="205" fontId="12" fillId="0" borderId="1" xfId="0" applyNumberFormat="1" applyFont="1" applyFill="1" applyBorder="1" applyAlignment="1">
      <x:alignment vertical="center" wrapText="0"/>
    </x:xf>
    <x:xf numFmtId="206" fontId="17" fillId="0" borderId="0" xfId="0" applyNumberFormat="1" applyFont="1" applyFill="1" applyBorder="1" applyAlignment="1">
      <x:alignment vertical="center" wrapText="0"/>
    </x:xf>
    <x:xf numFmtId="202" fontId="17" fillId="0" borderId="0" xfId="0" applyNumberFormat="1" applyFont="1" applyFill="1" applyBorder="1" applyAlignment="1">
      <x:alignment vertical="center" wrapText="0"/>
    </x:xf>
    <x:xf numFmtId="202" fontId="12" fillId="0" borderId="0" xfId="0" applyNumberFormat="1" applyFont="1" applyFill="1" applyBorder="1" applyAlignment="1">
      <x:alignment vertical="center" wrapText="0"/>
    </x:xf>
    <x:xf numFmtId="206" fontId="17" fillId="0" borderId="1" xfId="0" applyNumberFormat="1" applyFont="1" applyFill="1" applyBorder="1" applyAlignment="1">
      <x:alignment vertical="center" wrapText="0"/>
    </x:xf>
    <x:xf numFmtId="202" fontId="17" fillId="0" borderId="1" xfId="0" applyNumberFormat="1" applyFont="1" applyFill="1" applyBorder="1" applyAlignment="1">
      <x:alignment vertical="center" wrapText="0"/>
    </x:xf>
    <x:xf numFmtId="202" fontId="12" fillId="0" borderId="1" xfId="0" applyNumberFormat="1" applyFont="1" applyFill="1" applyBorder="1" applyAlignment="1">
      <x:alignment vertical="center" wrapText="0"/>
    </x:xf>
    <x:xf numFmtId="200" fontId="17" fillId="0" borderId="0" xfId="0" applyNumberFormat="1" applyFont="1" applyFill="1" applyBorder="1" applyAlignment="1">
      <x:alignment vertical="center" wrapText="0"/>
    </x:xf>
    <x:xf numFmtId="207" fontId="17" fillId="0" borderId="0" xfId="0" applyNumberFormat="1" applyFont="1" applyFill="1" applyBorder="1" applyAlignment="1">
      <x:alignment vertical="center" wrapText="0"/>
    </x:xf>
    <x:xf numFmtId="200" fontId="17" fillId="0" borderId="1" xfId="0" applyNumberFormat="1" applyFont="1" applyFill="1" applyBorder="1" applyAlignment="1">
      <x:alignment vertical="center" wrapText="0"/>
    </x:xf>
    <x:xf numFmtId="207" fontId="17" fillId="0" borderId="1" xfId="0" applyNumberFormat="1" applyFont="1" applyFill="1" applyBorder="1" applyAlignment="1">
      <x:alignment vertical="center" wrapText="0"/>
    </x:xf>
    <x:xf numFmtId="208" fontId="16" fillId="6" borderId="0" xfId="0" applyNumberFormat="1" applyFont="1" applyFill="1" applyBorder="1" applyAlignment="1">
      <x:alignment vertical="center" wrapText="0"/>
    </x:xf>
    <x:xf numFmtId="209" fontId="16" fillId="6" borderId="0" xfId="0" applyNumberFormat="1" applyFont="1" applyFill="1" applyBorder="1" applyAlignment="1">
      <x:alignment vertical="center" wrapText="0"/>
    </x:xf>
    <x:xf numFmtId="208" fontId="16" fillId="6" borderId="1" xfId="0" applyNumberFormat="1" applyFont="1" applyFill="1" applyBorder="1" applyAlignment="1">
      <x:alignment vertical="center" wrapText="0"/>
    </x:xf>
    <x:xf numFmtId="209" fontId="16" fillId="6" borderId="1" xfId="0" applyNumberFormat="1" applyFont="1" applyFill="1" applyBorder="1" applyAlignment="1">
      <x:alignment vertical="center" wrapText="0"/>
    </x:xf>
    <x:xf numFmtId="0" fontId="19" fillId="7" borderId="0" xfId="0" applyNumberFormat="1" applyFont="1" applyFill="1" applyBorder="1" applyAlignment="1">
      <x:alignment vertical="center" wrapText="0"/>
    </x:xf>
    <x:xf numFmtId="0" fontId="19" fillId="7" borderId="1" xfId="0" applyNumberFormat="1" applyFont="1" applyFill="1" applyBorder="1" applyAlignment="1">
      <x:alignment vertical="center" wrapText="0"/>
    </x:xf>
    <x:xf numFmtId="0" fontId="11" fillId="4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2" fillId="0" borderId="1" xfId="0" applyNumberFormat="1" applyFont="1" applyFill="1" applyBorder="1" applyAlignment="1">
      <x:alignment vertical="center" wrapText="1"/>
    </x:xf>
    <x:xf numFmtId="0" fontId="14" fillId="3" borderId="0" xfId="0" applyNumberFormat="1" applyFont="1" applyFill="1" applyBorder="1" applyAlignment="1">
      <x:alignment vertical="center" wrapText="1"/>
    </x:xf>
    <x:xf numFmtId="0" fontId="14" fillId="3" borderId="1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7" fillId="0" borderId="1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0"/>
    </x:xf>
    <x:xf numFmtId="0" fontId="11" fillId="4" borderId="0" xfId="0" applyNumberFormat="1" applyFont="1" applyFill="1" applyBorder="1" applyAlignment="1">
      <x:alignment vertical="center" wrapText="0"/>
    </x:xf>
    <x:xf numFmtId="0" fontId="12" fillId="4" borderId="1" xfId="0" applyNumberFormat="1" applyFont="1" applyFill="1" applyBorder="1" applyAlignment="1">
      <x:alignment vertical="center" wrapText="0"/>
    </x:xf>
    <x:xf numFmtId="0" fontId="11" fillId="4" borderId="1" xfId="0" applyNumberFormat="1" applyFont="1" applyFill="1" applyBorder="1" applyAlignment="1">
      <x:alignment vertical="center" wrapText="0"/>
    </x:xf>
    <x:xf numFmtId="210" fontId="12" fillId="0" borderId="0" xfId="0" applyNumberFormat="1" applyFont="1" applyFill="1" applyBorder="1" applyAlignment="1">
      <x:alignment vertical="center" wrapText="0"/>
    </x:xf>
    <x:xf numFmtId="210" fontId="12" fillId="0" borderId="1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/>
    <x:xf numFmtId="0" fontId="12" fillId="8" borderId="0" xfId="0" applyNumberFormat="1" applyFont="1" applyFill="1" applyBorder="1" applyAlignment="1">
      <x:alignment vertical="center" wrapText="0"/>
    </x:xf>
    <x:xf numFmtId="0" fontId="11" fillId="8" borderId="0" xfId="0" applyNumberFormat="1" applyFont="1" applyFill="1" applyBorder="1" applyAlignment="1">
      <x:alignment vertical="center" wrapText="0"/>
    </x:xf>
    <x:xf numFmtId="0" fontId="11" fillId="8" borderId="0" xfId="0" applyNumberFormat="1" applyFont="1" applyFill="1" applyBorder="1" applyAlignment="1">
      <x:alignment horizontal="left" vertical="center" wrapText="0"/>
    </x:xf>
    <x:xf numFmtId="0" fontId="12" fillId="9" borderId="0" xfId="0" applyNumberFormat="1" applyFont="1" applyFill="1" applyBorder="1" applyAlignment="1">
      <x:alignment vertical="center" wrapText="0"/>
    </x:xf>
    <x:xf numFmtId="0" fontId="14" fillId="9" borderId="0" xfId="0" applyNumberFormat="1" applyFont="1" applyFill="1" applyBorder="1" applyAlignment="1">
      <x:alignment vertical="center" wrapText="0"/>
    </x:xf>
    <x:xf numFmtId="0" fontId="14" fillId="9" borderId="0" xfId="0" applyNumberFormat="1" applyFont="1" applyFill="1" applyBorder="1" applyAlignment="1">
      <x:alignment horizontal="left" vertical="center" wrapText="0"/>
    </x:xf>
    <x:xf numFmtId="0" fontId="11" fillId="8" borderId="2" xfId="0" applyNumberFormat="1" applyFont="1" applyFill="1" applyBorder="1" applyAlignment="1">
      <x:alignment horizontal="left" vertical="center" wrapText="0"/>
    </x:xf>
    <x:xf numFmtId="0" fontId="14" fillId="9" borderId="3" xfId="0" applyNumberFormat="1" applyFont="1" applyFill="1" applyBorder="1" applyAlignment="1">
      <x:alignment horizontal="left" vertical="center" wrapText="0"/>
    </x:xf>
    <x:xf numFmtId="0" fontId="11" fillId="8" borderId="4" xfId="0" applyNumberFormat="1" applyFont="1" applyFill="1" applyBorder="1" applyAlignment="1">
      <x:alignment horizontal="left" vertical="center" wrapText="0"/>
    </x:xf>
    <x:xf numFmtId="0" fontId="14" fillId="9" borderId="5" xfId="0" applyNumberFormat="1" applyFont="1" applyFill="1" applyBorder="1" applyAlignment="1">
      <x:alignment horizontal="left" vertical="center" wrapText="0"/>
    </x:xf>
    <x:xf numFmtId="0" fontId="11" fillId="8" borderId="6" xfId="0" applyNumberFormat="1" applyFont="1" applyFill="1" applyBorder="1" applyAlignment="1">
      <x:alignment horizontal="left" vertical="center" wrapText="0"/>
    </x:xf>
    <x:xf numFmtId="0" fontId="14" fillId="9" borderId="7" xfId="0" applyNumberFormat="1" applyFont="1" applyFill="1" applyBorder="1" applyAlignment="1">
      <x:alignment horizontal="left" vertical="center" wrapText="0"/>
    </x:xf>
    <x:xf numFmtId="0" fontId="12" fillId="10" borderId="0" xfId="0" applyNumberFormat="1" applyFont="1" applyFill="1" applyBorder="1" applyAlignment="1">
      <x:alignment vertical="center" wrapText="0"/>
    </x:xf>
    <x:xf numFmtId="0" fontId="20" fillId="10" borderId="0" xfId="0" applyNumberFormat="1" applyFont="1" applyFill="1" applyBorder="1" applyAlignment="1">
      <x:alignment vertical="center" wrapText="0"/>
    </x:xf>
    <x:xf numFmtId="0" fontId="20" fillId="1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left"/>
    </x:xf>
    <x:xf numFmtId="0" fontId="2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2" fillId="9" borderId="0" xfId="0" applyNumberFormat="1" applyFont="1" applyFill="1" applyBorder="1"/>
    <x:xf numFmtId="0" fontId="22" fillId="9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horizontal="center"/>
    </x:xf>
    <x:xf numFmtId="0" fontId="3" fillId="11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0" fillId="14" borderId="0" xfId="0" applyNumberFormat="1" applyFont="1" applyFill="1" applyBorder="1"/>
    <x:xf numFmtId="0" fontId="23" fillId="14" borderId="0" xfId="0" applyNumberFormat="1" applyFont="1" applyFill="1" applyBorder="1"/>
    <x:xf numFmtId="0" fontId="23" fillId="14" borderId="0" xfId="0" applyNumberFormat="1" applyFont="1" applyFill="1" applyBorder="1" applyAlignment="1">
      <x:alignment wrapText="1"/>
    </x:xf>
    <x:xf numFmtId="0" fontId="23" fillId="1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color rgb="FFC0392B"/>
      </x:font>
      <x:fill>
        <x:patternFill>
          <x:bgColor rgb="FFFDECEC"/>
        </x:patternFill>
      </x:fill>
    </x:dxf>
    <x:dxf>
      <x:font>
        <x:color rgb="FF137A5A"/>
      </x:font>
      <x:fill>
        <x:patternFill>
          <x:bgColor rgb="FFEAF7F1"/>
        </x:patternFill>
      </x:fill>
    </x:dxf>
    <x:dxf>
      <x:font>
        <x:color rgb="FFC0392B"/>
      </x:font>
      <x:fill>
        <x:patternFill>
          <x:bgColor rgb="FFFDECEC"/>
        </x:patternFill>
      </x:fill>
    </x:dxf>
    <x:dxf>
      <x:font>
        <x:color rgb="FF137A5A"/>
      </x:font>
      <x:fill>
        <x:patternFill>
          <x:bgColor rgb="FFEAF7F1"/>
        </x:patternFill>
      </x:fill>
    </x:dxf>
    <x:dxf>
      <x:font>
        <x:b/>
        <x:color rgb="FFC0392B"/>
      </x:font>
      <x:fill>
        <x:patternFill>
          <x:bgColor rgb="FFFDECEC"/>
        </x:patternFill>
      </x:fill>
    </x:dxf>
    <x:dxf>
      <x:font>
        <x:b/>
        <x:color rgb="FF137A5A"/>
      </x:font>
      <x:fill>
        <x:patternFill>
          <x:bgColor rgb="FFEAF7F1"/>
        </x:patternFill>
      </x:fill>
    </x:dxf>
    <x:dxf>
      <x:font>
        <x:b/>
        <x:color rgb="FF137A5A"/>
      </x:font>
      <x:fill>
        <x:patternFill>
          <x:bgColor rgb="FFEAF7F1"/>
        </x:patternFill>
      </x:fill>
    </x:dxf>
    <x:dxf>
      <x:font>
        <x:b/>
        <x:color rgb="FF137A5A"/>
      </x:font>
      <x:fill>
        <x:patternFill>
          <x:bgColor rgb="FFEAF7F1"/>
        </x:patternFill>
      </x:fill>
    </x:dxf>
    <x:dxf>
      <x:font>
        <x:b/>
        <x:color rgb="FF9A6700"/>
      </x:font>
      <x:fill>
        <x:patternFill>
          <x:bgColor rgb="FFFFF4E5"/>
        </x:patternFill>
      </x:fill>
    </x:dxf>
    <x:dxf>
      <x:font>
        <x:b/>
        <x:color rgb="FF137A5A"/>
      </x:font>
      <x:fill>
        <x:patternFill>
          <x:bgColor rgb="FFEAF7F1"/>
        </x:patternFill>
      </x:fill>
    </x:dxf>
    <x:dxf>
      <x:font>
        <x:b/>
        <x:color rgb="FFC0392B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65e104fc5242b7" /><Relationship Type="http://schemas.openxmlformats.org/officeDocument/2006/relationships/theme" Target="/xl/theme/theme1.xml" Id="Raeb3fbf720fe4e9b" /><Relationship Type="http://schemas.openxmlformats.org/officeDocument/2006/relationships/sharedStrings" Target="/xl/sharedStrings.xml" Id="Re273d620d2cb4901" /><Relationship Type="http://schemas.openxmlformats.org/officeDocument/2006/relationships/worksheet" Target="/xl/worksheets/sheet1.xml" Id="R0132c38d21d34a01" /><Relationship Type="http://schemas.openxmlformats.org/officeDocument/2006/relationships/worksheet" Target="/xl/worksheets/sheet2.xml" Id="R796926a7c0514d3e" /><Relationship Type="http://schemas.openxmlformats.org/officeDocument/2006/relationships/worksheet" Target="/xl/worksheets/sheet3.xml" Id="Rb0711dc9fc08408d" /><Relationship Type="http://schemas.openxmlformats.org/officeDocument/2006/relationships/worksheet" Target="/xl/worksheets/sheet4.xml" Id="R1850a2e77e144ce2" /><Relationship Type="http://schemas.openxmlformats.org/officeDocument/2006/relationships/worksheet" Target="/xl/worksheets/sheet5.xml" Id="Rbb0ea763a7894ea3" /><Relationship Type="http://schemas.openxmlformats.org/officeDocument/2006/relationships/worksheet" Target="/xl/worksheets/sheet6.xml" Id="R63e5fc776c3c4119" /><Relationship Type="http://schemas.openxmlformats.org/officeDocument/2006/relationships/worksheet" Target="/xl/worksheets/sheet7.xml" Id="R5a88122dd4ee48b7" /><Relationship Type="http://schemas.openxmlformats.org/officeDocument/2006/relationships/worksheet" Target="/xl/worksheets/sheet8.xml" Id="Rdd6128bf55fa4cfd" /><Relationship Type="http://schemas.openxmlformats.org/officeDocument/2006/relationships/worksheet" Target="/xl/worksheets/sheet9.xml" Id="R47707b2c2b874d36" /><Relationship Type="http://schemas.openxmlformats.org/officeDocument/2006/relationships/worksheet" Target="/xl/worksheets/sheet10.xml" Id="Rbc7235c18b28414c" /><Relationship Type="http://schemas.openxmlformats.org/officeDocument/2006/relationships/worksheet" Target="/xl/worksheets/sheet11.xml" Id="R38afa9f6feeb404c" /><Relationship Type="http://schemas.openxmlformats.org/officeDocument/2006/relationships/worksheet" Target="/xl/worksheets/sheet12.xml" Id="Rbc6e26412f5a44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23e8bc60004c7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9e74033d0904d2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Revenue — Actual vs Budget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Actual Rev</c:v>
          </c:tx>
          <c:marker>
            <c:symbol val="none"/>
          </c:marker>
          <c:cat>
            <c:strRef>
              <c:f>'03_PnL_Variance'!$A$5:$A$16</c:f>
              <c:strCache>
                <c:ptCount val="0"/>
              </c:strCache>
            </c:strRef>
          </c:cat>
          <c:val>
            <c:numRef>
              <c:f>'03_PnL_Variance'!$B$5:$B$16</c:f>
              <c:numCache>
                <c:formatCode>#,##0.000;[Red](#,##0.000);-</c:formatCode>
                <c:ptCount val="0"/>
              </c:numCache>
            </c:numRef>
          </c:val>
        </c:ser>
        <c:ser>
          <c:idx val="1"/>
          <c:order val="1"/>
          <c:tx>
            <c:v>Budget Rev</c:v>
          </c:tx>
          <c:marker>
            <c:symbol val="none"/>
          </c:marker>
          <c:cat>
            <c:strRef>
              <c:f>'03_PnL_Variance'!$A$5:$A$16</c:f>
              <c:strCache>
                <c:ptCount val="0"/>
              </c:strCache>
            </c:strRef>
          </c:cat>
          <c:val>
            <c:numRef>
              <c:f>'03_PnL_Variance'!$C$5:$C$16</c:f>
              <c:numCache>
                <c:formatCode>#,##0.000;[Red](#,##0.000);-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WAPE Benchmark by Horizon / Model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1M</c:v>
          </c:tx>
          <c:marker>
            <c:symbol val="none"/>
          </c:marker>
          <c:cat>
            <c:strRef>
              <c:f>'07_Forecast_Accuracy'!$H$5:$H$7</c:f>
              <c:strCache>
                <c:ptCount val="0"/>
              </c:strCache>
            </c:strRef>
          </c:cat>
          <c:val>
            <c:numRef>
              <c:f>'07_Forecast_Accuracy'!$I$5:$I$7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3M</c:v>
          </c:tx>
          <c:marker>
            <c:symbol val="none"/>
          </c:marker>
          <c:cat>
            <c:strRef>
              <c:f>'07_Forecast_Accuracy'!$H$5:$H$7</c:f>
              <c:strCache>
                <c:ptCount val="0"/>
              </c:strCache>
            </c:strRef>
          </c:cat>
          <c:val>
            <c:numRef>
              <c:f>'07_Forecast_Accuracy'!$J$5:$J$7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6M</c:v>
          </c:tx>
          <c:marker>
            <c:symbol val="none"/>
          </c:marker>
          <c:cat>
            <c:strRef>
              <c:f>'07_Forecast_Accuracy'!$H$5:$H$7</c:f>
              <c:strCache>
                <c:ptCount val="0"/>
              </c:strCache>
            </c:strRef>
          </c:cat>
          <c:val>
            <c:numRef>
              <c:f>'07_Forecast_Accuracy'!$K$5:$K$7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8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23e8bc60004c7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7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e74033d0904d2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422b6e6291844cc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68049243c9764517" /></Relationships>
</file>

<file path=xl/worksheets/sheet1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20" hidden="0" customWidth="1"/>
    <x:col min="3" max="3" width="28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8" customHeight="1">
      <x:c r="A1" s="226" t="str">
        <x:v>VietNova FP&amp;A / Commercial Finance — Recruiter Excel Model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7"/>
      <x:c r="L1" s="227"/>
      <x:c r="M1" s="227"/>
      <x:c r="N1" s="227"/>
      <x:c r="O1" s="227"/>
    </x:row>
    <x:row r="2" ht="34" customHeight="1">
      <x:c r="A2" s="228" t="str">
        <x:v>Professional Excel showcase: controlled inputs → formulas/workings → management outputs → checks. Simulated / derived portfolio case.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 ht="20" customHeight="1">
      <x:c r="A4" s="226" t="str">
        <x:v>RECRUITER QUICK VIEW</x:v>
      </x:c>
      <x:c r="B4" s="226"/>
      <x:c r="C4" s="226"/>
      <x:c r="D4" s="226"/>
      <x:c r="E4" s="226"/>
      <x:c r="F4" s="226"/>
      <x:c r="G4" s="226"/>
      <x:c r="H4" s="226"/>
      <x:c r="I4" s="226"/>
      <x:c r="J4" s="226"/>
      <x:c r="K4" s="227"/>
      <x:c r="L4" s="227"/>
      <x:c r="M4" s="227"/>
      <x:c r="N4" s="227"/>
      <x:c r="O4" s="227"/>
    </x:row>
    <x:row r="5">
      <x:c r="A5" s="227"/>
      <x:c r="B5" s="227"/>
      <x:c r="C5" s="227"/>
      <x:c r="D5" s="307" t="str">
        <x:v>Workbook version</x:v>
      </x:c>
      <x:c r="E5" s="308" t="str">
        <x:v>v1.2.0</x:v>
      </x:c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27"/>
      <x:c r="B6" s="229" t="str">
        <x:v>Purpose</x:v>
      </x:c>
      <x:c r="C6" s="227" t="str">
        <x:v>Demonstrate practical Excel modelling skill</x:v>
      </x:c>
      <x:c r="D6" s="309" t="str">
        <x:v>Release date</x:v>
      </x:c>
      <x:c r="E6" s="310" t="str">
        <x:v>2026-09-10</x:v>
      </x:c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27"/>
      <x:c r="B7" s="229" t="str">
        <x:v>Model structure</x:v>
      </x:c>
      <x:c r="C7" s="227" t="str">
        <x:v>Inputs → workings → outputs → controls</x:v>
      </x:c>
      <x:c r="D7" s="309" t="str">
        <x:v>Owner</x:v>
      </x:c>
      <x:c r="E7" s="310" t="str">
        <x:v>Khoi Nguyen</x:v>
      </x:c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27"/>
      <x:c r="B8" s="229" t="str">
        <x:v>Primary roles</x:v>
      </x:c>
      <x:c r="C8" s="227" t="str">
        <x:v>FP&amp;A / Commercial Finance / Financial Analyst</x:v>
      </x:c>
      <x:c r="D8" s="309" t="str">
        <x:v>Review status</x:v>
      </x:c>
      <x:c r="E8" s="310" t="str">
        <x:v>RECRUITER READY</x:v>
      </x:c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27"/>
      <x:c r="B9" s="229" t="str">
        <x:v>Evidence</x:v>
      </x:c>
      <x:c r="C9" s="227" t="str">
        <x:v>SIMULATED / DERIVED; historical OOS separately labelled</x:v>
      </x:c>
      <x:c r="D9" s="309" t="str">
        <x:v>Evidence boundary</x:v>
      </x:c>
      <x:c r="E9" s="310" t="str">
        <x:v>SIMULATED / DERIVED</x:v>
      </x:c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27"/>
      <x:c r="B10" s="229" t="str">
        <x:v>Live accuracy</x:v>
      </x:c>
      <x:c r="C10" s="227" t="str">
        <x:v>Gate A remains OPEN — no unsupported company claim</x:v>
      </x:c>
      <x:c r="D10" s="311" t="str">
        <x:v>Live Gate A</x:v>
      </x:c>
      <x:c r="E10" s="312" t="str">
        <x:v>OPEN</x:v>
      </x:c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7"/>
      <x:c r="B11" s="227"/>
      <x:c r="C11" s="227"/>
      <x:c r="D11" s="227"/>
      <x:c r="E11" s="227"/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 ht="20" customHeight="1">
      <x:c r="A12" s="226" t="str">
        <x:v>WORKBOOK MAP — REVIEW IN THIS ORDER</x:v>
      </x:c>
      <x:c r="B12" s="226"/>
      <x:c r="C12" s="226"/>
      <x:c r="D12" s="226"/>
      <x:c r="E12" s="226"/>
      <x:c r="F12" s="226"/>
      <x:c r="G12" s="226"/>
      <x:c r="H12" s="226"/>
      <x:c r="I12" s="226"/>
      <x:c r="J12" s="226"/>
      <x:c r="K12" s="227"/>
      <x:c r="L12" s="227"/>
      <x:c r="M12" s="227"/>
      <x:c r="N12" s="227"/>
      <x:c r="O12" s="227"/>
    </x:row>
    <x:row r="13">
      <x:c r="A13" s="227"/>
      <x:c r="B13" s="286" t="str">
        <x:v>Sheet</x:v>
      </x:c>
      <x:c r="C13" s="286" t="str">
        <x:v>Purpose</x:v>
      </x:c>
      <x:c r="D13" s="286" t="str">
        <x:v>Excel skill shown</x:v>
      </x:c>
      <x:c r="E13" s="286" t="str">
        <x:v>Recruiter takeaway</x:v>
      </x:c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/>
      <x:c r="B14" s="287" t="str">
        <x:v>01_Assumptions</x:v>
      </x:c>
      <x:c r="C14" s="287" t="str">
        <x:v>Scenario inputs &amp; hurdles</x:v>
      </x:c>
      <x:c r="D14" s="287" t="str">
        <x:v>Input conventions, validation</x:v>
      </x:c>
      <x:c r="E14" s="287" t="str">
        <x:v>I can structure model drivers cleanly</x:v>
      </x:c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>
      <x:c r="A15" s="227"/>
      <x:c r="B15" s="287" t="str">
        <x:v>02_Actuals</x:v>
      </x:c>
      <x:c r="C15" s="287" t="str">
        <x:v>Monthly operating history</x:v>
      </x:c>
      <x:c r="D15" s="287" t="str">
        <x:v>Tables, formulas, linked calculations</x:v>
      </x:c>
      <x:c r="E15" s="287" t="str">
        <x:v>I can build management reporting bases</x:v>
      </x:c>
      <x:c r="F15" s="227"/>
      <x:c r="G15" s="227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27"/>
      <x:c r="B16" s="287" t="str">
        <x:v>03_PnL_Variance</x:v>
      </x:c>
      <x:c r="C16" s="287" t="str">
        <x:v>Actual vs Budget vs Forecast</x:v>
      </x:c>
      <x:c r="D16" s="287" t="str">
        <x:v>Variance formulas, conditional formatting, charts</x:v>
      </x:c>
      <x:c r="E16" s="287" t="str">
        <x:v>I can explain performance movement</x:v>
      </x:c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>
      <x:c r="A17" s="227"/>
      <x:c r="B17" s="287" t="str">
        <x:v>04_Commercial</x:v>
      </x:c>
      <x:c r="C17" s="287" t="str">
        <x:v>Channel economics</x:v>
      </x:c>
      <x:c r="D17" s="287" t="str">
        <x:v>SUMIFS, profitability hurdle, decision logic</x:v>
      </x:c>
      <x:c r="E17" s="287" t="str">
        <x:v>I can connect revenue to contribution</x:v>
      </x:c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27"/>
      <x:c r="B18" s="287" t="str">
        <x:v>05_Working_Capital</x:v>
      </x:c>
      <x:c r="C18" s="287" t="str">
        <x:v>AR / inventory / AP / CCC</x:v>
      </x:c>
      <x:c r="D18" s="287" t="str">
        <x:v>Driver formulas and cash logic</x:v>
      </x:c>
      <x:c r="E18" s="287" t="str">
        <x:v>I can monitor cash conversion</x:v>
      </x:c>
      <x:c r="F18" s="227"/>
      <x:c r="G18" s="227"/>
      <x:c r="H18" s="227"/>
      <x:c r="I18" s="227"/>
      <x:c r="J18" s="227"/>
      <x:c r="K18" s="227"/>
      <x:c r="L18" s="227"/>
      <x:c r="M18" s="227"/>
      <x:c r="N18" s="227"/>
      <x:c r="O18" s="227"/>
    </x:row>
    <x:row r="19">
      <x:c r="A19" s="227"/>
      <x:c r="B19" s="287" t="str">
        <x:v>06_Scenario</x:v>
      </x:c>
      <x:c r="C19" s="287" t="str">
        <x:v>Base / Upside / Downside</x:v>
      </x:c>
      <x:c r="D19" s="287" t="str">
        <x:v>Scenario selector, INDEX/MATCH</x:v>
      </x:c>
      <x:c r="E19" s="287" t="str">
        <x:v>I can support planning decisions</x:v>
      </x:c>
      <x:c r="F19" s="227"/>
      <x:c r="G19" s="227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27"/>
      <x:c r="B20" s="287" t="str">
        <x:v>07_Forecast_Accuracy</x:v>
      </x:c>
      <x:c r="C20" s="287" t="str">
        <x:v>Bias / WAPE benchmark</x:v>
      </x:c>
      <x:c r="D20" s="287" t="str">
        <x:v>Forecast governance and model comparison</x:v>
      </x:c>
      <x:c r="E20" s="287" t="str">
        <x:v>I can evaluate forecasts, not just create them</x:v>
      </x:c>
      <x:c r="F20" s="227"/>
      <x:c r="G20" s="227"/>
      <x:c r="H20" s="227"/>
      <x:c r="I20" s="227"/>
      <x:c r="J20" s="227"/>
      <x:c r="K20" s="227"/>
      <x:c r="L20" s="227"/>
      <x:c r="M20" s="227"/>
      <x:c r="N20" s="227"/>
      <x:c r="O20" s="227"/>
    </x:row>
    <x:row r="21">
      <x:c r="A21" s="227"/>
      <x:c r="B21" s="287" t="str">
        <x:v>08_Costing</x:v>
      </x:c>
      <x:c r="C21" s="287" t="str">
        <x:v>Cost variance &amp; inventory</x:v>
      </x:c>
      <x:c r="D21" s="287" t="str">
        <x:v>Variance bridge, reserve logic</x:v>
      </x:c>
      <x:c r="E21" s="287" t="str">
        <x:v>I can support cost / margin analysis</x:v>
      </x:c>
      <x:c r="F21" s="227"/>
      <x:c r="G21" s="227"/>
      <x:c r="H21" s="227"/>
      <x:c r="I21" s="227"/>
      <x:c r="J21" s="227"/>
      <x:c r="K21" s="227"/>
      <x:c r="L21" s="227"/>
      <x:c r="M21" s="227"/>
      <x:c r="N21" s="227"/>
      <x:c r="O21" s="227"/>
    </x:row>
    <x:row r="22">
      <x:c r="A22" s="227"/>
      <x:c r="B22" s="287" t="str">
        <x:v>09_Controls</x:v>
      </x:c>
      <x:c r="C22" s="287" t="str">
        <x:v>Reconciliation / evidence checks</x:v>
      </x:c>
      <x:c r="D22" s="287" t="str">
        <x:v>Controls and alerts</x:v>
      </x:c>
      <x:c r="E22" s="287" t="str">
        <x:v>I build models that can be reviewed</x:v>
      </x:c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27"/>
      <x:c r="B23" s="287" t="str">
        <x:v>10_Skills</x:v>
      </x:c>
      <x:c r="C23" s="287" t="str">
        <x:v>What I did / learned / can contribute</x:v>
      </x:c>
      <x:c r="D23" s="287" t="str">
        <x:v>Documentation</x:v>
      </x:c>
      <x:c r="E23" s="287" t="str">
        <x:v>I can explain my work clearly</x:v>
      </x:c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27"/>
      <x:c r="B24" s="315" t="str">
        <x:v>11_Change_Log</x:v>
      </x:c>
      <x:c r="C24" s="315" t="str">
        <x:v>Version / change / test history</x:v>
      </x:c>
      <x:c r="D24" s="315" t="str">
        <x:v>Version control and handover</x:v>
      </x:c>
      <x:c r="E24" s="315" t="str">
        <x:v>I can maintain a reviewable model lifecycle</x:v>
      </x:c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 ht="20" customHeight="1">
      <x:c r="A25" s="226" t="str">
        <x:v>MODELLING STANDARD USED</x:v>
      </x:c>
      <x:c r="B25" s="226"/>
      <x:c r="C25" s="226"/>
      <x:c r="D25" s="226"/>
      <x:c r="E25" s="226"/>
      <x:c r="F25" s="226"/>
      <x:c r="G25" s="226"/>
      <x:c r="H25" s="226"/>
      <x:c r="I25" s="226"/>
      <x:c r="J25" s="226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86" t="str">
        <x:v>Convention</x:v>
      </x:c>
      <x:c r="C27" s="286" t="str">
        <x:v>Meaning</x:v>
      </x:c>
      <x:c r="D27" s="286" t="str">
        <x:v>Implementation</x:v>
      </x:c>
      <x:c r="E27" s="227" t="str"/>
      <x:c r="F27" s="227" t="str"/>
      <x:c r="G27" s="227" t="str"/>
      <x:c r="H27" s="227" t="str"/>
      <x:c r="I27" s="227" t="str"/>
      <x:c r="J27" s="227"/>
      <x:c r="K27" s="227"/>
      <x:c r="L27" s="227"/>
      <x:c r="M27" s="227"/>
      <x:c r="N27" s="227"/>
      <x:c r="O27" s="227"/>
    </x:row>
    <x:row r="28" ht="26" customHeight="1">
      <x:c r="A28" s="227"/>
      <x:c r="B28" s="290" t="str">
        <x:v>Blue font</x:v>
      </x:c>
      <x:c r="C28" s="287" t="str">
        <x:v>Hardcoded / editable inputs</x:v>
      </x:c>
      <x:c r="D28" s="287" t="str">
        <x:v>Scenario assumptions and selector cells</x:v>
      </x:c>
      <x:c r="E28" s="227" t="str"/>
      <x:c r="F28" s="227" t="str"/>
      <x:c r="G28" s="227" t="str"/>
      <x:c r="H28" s="227" t="str"/>
      <x:c r="I28" s="227" t="str"/>
      <x:c r="J28" s="227"/>
      <x:c r="K28" s="227"/>
      <x:c r="L28" s="227"/>
      <x:c r="M28" s="227"/>
      <x:c r="N28" s="227"/>
      <x:c r="O28" s="227"/>
    </x:row>
    <x:row r="29" ht="26" customHeight="1">
      <x:c r="A29" s="227"/>
      <x:c r="B29" s="290" t="str">
        <x:v>Green font</x:v>
      </x:c>
      <x:c r="C29" s="287" t="str">
        <x:v>Cross-sheet links</x:v>
      </x:c>
      <x:c r="D29" s="287" t="str">
        <x:v>Linked values pulled from other tabs</x:v>
      </x:c>
      <x:c r="E29" s="227" t="str"/>
      <x:c r="F29" s="227" t="str"/>
      <x:c r="G29" s="227" t="str"/>
      <x:c r="H29" s="227" t="str"/>
      <x:c r="I29" s="227" t="str"/>
      <x:c r="J29" s="227"/>
      <x:c r="K29" s="227"/>
      <x:c r="L29" s="227"/>
      <x:c r="M29" s="227"/>
      <x:c r="N29" s="227"/>
      <x:c r="O29" s="227"/>
    </x:row>
    <x:row r="30" ht="26" customHeight="1">
      <x:c r="A30" s="227"/>
      <x:c r="B30" s="290" t="str">
        <x:v>Black font</x:v>
      </x:c>
      <x:c r="C30" s="287" t="str">
        <x:v>Formulas / calculations</x:v>
      </x:c>
      <x:c r="D30" s="287" t="str">
        <x:v>Derived financial metrics and checks</x:v>
      </x:c>
      <x:c r="E30" s="227" t="str"/>
      <x:c r="F30" s="227" t="str"/>
      <x:c r="G30" s="227" t="str"/>
      <x:c r="H30" s="227" t="str"/>
      <x:c r="I30" s="227" t="str"/>
      <x:c r="J30" s="227"/>
      <x:c r="K30" s="227"/>
      <x:c r="L30" s="227"/>
      <x:c r="M30" s="227"/>
      <x:c r="N30" s="227"/>
      <x:c r="O30" s="227"/>
    </x:row>
    <x:row r="31" ht="26" customHeight="1">
      <x:c r="A31" s="227"/>
      <x:c r="B31" s="290" t="str">
        <x:v>Yellow fill</x:v>
      </x:c>
      <x:c r="C31" s="287" t="str">
        <x:v>Attention / open evidence</x:v>
      </x:c>
      <x:c r="D31" s="287" t="str">
        <x:v>Gate A and any open reconciliation</x:v>
      </x:c>
      <x:c r="E31" s="227" t="str"/>
      <x:c r="F31" s="227" t="str"/>
      <x:c r="G31" s="227" t="str"/>
      <x:c r="H31" s="227" t="str"/>
      <x:c r="I31" s="227" t="str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31" t="str">
        <x:v>Design references: ICAEW 20 Principles for Good Spreadsheet Practice (clear inputs/processes/outputs; controls; versioning) and CFI financial-model documentation conventions. Sources: https://www.icaew.com/technical/technology/excel-community/20-principles-for-good-spreadsheet-practice-2024-edition | https://corporatefinanceinstitute.com/resources/excel/documenting-excel-models-best-practices/</x:v>
      </x:c>
      <x:c r="C33" s="231"/>
      <x:c r="D33" s="231"/>
      <x:c r="E33" s="231"/>
      <x:c r="F33" s="231"/>
      <x:c r="G33" s="231"/>
      <x:c r="H33" s="231"/>
      <x:c r="I33" s="231"/>
      <x:c r="J33" s="231"/>
      <x:c r="K33" s="227"/>
      <x:c r="L33" s="227"/>
      <x:c r="M33" s="227"/>
      <x:c r="N33" s="227"/>
      <x:c r="O33" s="227"/>
    </x:row>
    <x:row r="34">
      <x:c r="A34" s="227"/>
      <x:c r="B34" s="231"/>
      <x:c r="C34" s="231"/>
      <x:c r="D34" s="231"/>
      <x:c r="E34" s="231"/>
      <x:c r="F34" s="231"/>
      <x:c r="G34" s="231"/>
      <x:c r="H34" s="231"/>
      <x:c r="I34" s="231"/>
      <x:c r="J34" s="231"/>
      <x:c r="K34" s="227"/>
      <x:c r="L34" s="227"/>
      <x:c r="M34" s="227"/>
      <x:c r="N34" s="227"/>
      <x:c r="O34" s="227"/>
    </x:row>
    <x:row r="35">
      <x:c r="A35" s="227"/>
      <x:c r="B35" s="231"/>
      <x:c r="C35" s="231"/>
      <x:c r="D35" s="231"/>
      <x:c r="E35" s="231"/>
      <x:c r="F35" s="231"/>
      <x:c r="G35" s="231"/>
      <x:c r="H35" s="231"/>
      <x:c r="I35" s="231"/>
      <x:c r="J35" s="231"/>
      <x:c r="K35" s="227"/>
      <x:c r="L35" s="227"/>
      <x:c r="M35" s="227"/>
      <x:c r="N35" s="227"/>
      <x:c r="O35" s="227"/>
    </x:row>
    <x:row r="36">
      <x:c r="A36" s="227"/>
      <x:c r="B36" s="231"/>
      <x:c r="C36" s="231"/>
      <x:c r="D36" s="231"/>
      <x:c r="E36" s="231"/>
      <x:c r="F36" s="231"/>
      <x:c r="G36" s="231"/>
      <x:c r="H36" s="231"/>
      <x:c r="I36" s="231"/>
      <x:c r="J36" s="231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J1"/>
    <x:mergeCell ref="A2:J2"/>
    <x:mergeCell ref="A4:J4"/>
    <x:mergeCell ref="A12:J12"/>
    <x:mergeCell ref="A25:J25"/>
    <x:mergeCell ref="B33:J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34" hidden="0" customWidth="1"/>
  </x:cols>
  <x:sheetData>
    <x:row r="1" ht="28" customHeight="1">
      <x:c r="A1" s="226" t="str">
        <x:v>01 — Assumptions &amp; Scenario Drivers</x:v>
      </x:c>
      <x:c r="B1" s="226"/>
      <x:c r="C1" s="226"/>
      <x:c r="D1" s="226"/>
      <x:c r="E1" s="226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Blue font = controlled hardcoded input. Scenario inputs come from the governed project scenario summary.</x:v>
      </x:c>
      <x:c r="B2" s="228"/>
      <x:c r="C2" s="228"/>
      <x:c r="D2" s="228"/>
      <x:c r="E2" s="228"/>
      <x:c r="F2" s="227"/>
      <x:c r="G2" s="227"/>
      <x:c r="H2" s="227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Driver</x:v>
      </x:c>
      <x:c r="B4" s="230" t="str">
        <x:v>Base</x:v>
      </x:c>
      <x:c r="C4" s="230" t="str">
        <x:v>Upside</x:v>
      </x:c>
      <x:c r="D4" s="230" t="str">
        <x:v>Downside</x:v>
      </x:c>
      <x:c r="E4" s="230" t="str">
        <x:v>Unit / Note</x:v>
      </x:c>
      <x:c r="F4" s="227"/>
      <x:c r="G4" s="227"/>
      <x:c r="H4" s="227"/>
      <x:c r="I4" s="227"/>
      <x:c r="J4" s="227"/>
      <x:c r="K4" s="227"/>
      <x:c r="L4" s="227"/>
      <x:c r="M4" s="227"/>
      <x:c r="N4" s="227"/>
      <x:c r="O4" s="227"/>
    </x:row>
    <x:row r="5">
      <x:c r="A5" s="229" t="str">
        <x:v>Net Revenue</x:v>
      </x:c>
      <x:c r="B5" s="238" t="n">
        <x:v>82.5138</x:v>
      </x:c>
      <x:c r="C5" s="238" t="n">
        <x:v>85.7182</x:v>
      </x:c>
      <x:c r="D5" s="238" t="n">
        <x:v>76.9061</x:v>
      </x:c>
      <x:c r="E5" s="227" t="str">
        <x:v>VND bn</x:v>
      </x:c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29" t="str">
        <x:v>Gross Profit</x:v>
      </x:c>
      <x:c r="B6" s="238" t="n">
        <x:v>26.915</x:v>
      </x:c>
      <x:c r="C6" s="238" t="n">
        <x:v>31.1886</x:v>
      </x:c>
      <x:c r="D6" s="238" t="n">
        <x:v>18.6342</x:v>
      </x:c>
      <x:c r="E6" s="227" t="str">
        <x:v>VND bn</x:v>
      </x:c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29" t="str">
        <x:v>Controllable OPEX</x:v>
      </x:c>
      <x:c r="B7" s="238" t="n">
        <x:v>14.0194</x:v>
      </x:c>
      <x:c r="C7" s="238" t="n">
        <x:v>13.739</x:v>
      </x:c>
      <x:c r="D7" s="238" t="n">
        <x:v>15.1409</x:v>
      </x:c>
      <x:c r="E7" s="227" t="str">
        <x:v>VND bn</x:v>
      </x:c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29" t="str">
        <x:v>EBITDA Proxy</x:v>
      </x:c>
      <x:c r="B8" s="238" t="n">
        <x:v>12.8956</x:v>
      </x:c>
      <x:c r="C8" s="238" t="n">
        <x:v>17.4496</x:v>
      </x:c>
      <x:c r="D8" s="238" t="n">
        <x:v>3.4933</x:v>
      </x:c>
      <x:c r="E8" s="227" t="str">
        <x:v>VND bn</x:v>
      </x:c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29" t="str">
        <x:v>Contribution</x:v>
      </x:c>
      <x:c r="B9" s="238" t="n">
        <x:v>24.2074</x:v>
      </x:c>
      <x:c r="C9" s="238" t="n">
        <x:v>28.481</x:v>
      </x:c>
      <x:c r="D9" s="238" t="n">
        <x:v>15.8724</x:v>
      </x:c>
      <x:c r="E9" s="227" t="str">
        <x:v>VND bn</x:v>
      </x:c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29" t="str">
        <x:v>DSO</x:v>
      </x:c>
      <x:c r="B10" s="239" t="n">
        <x:v>42</x:v>
      </x:c>
      <x:c r="C10" s="239" t="n">
        <x:v>38</x:v>
      </x:c>
      <x:c r="D10" s="239" t="n">
        <x:v>52</x:v>
      </x:c>
      <x:c r="E10" s="227" t="str">
        <x:v>days</x:v>
      </x:c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9" t="str">
        <x:v>DIO</x:v>
      </x:c>
      <x:c r="B11" s="239" t="n">
        <x:v>52</x:v>
      </x:c>
      <x:c r="C11" s="239" t="n">
        <x:v>47</x:v>
      </x:c>
      <x:c r="D11" s="239" t="n">
        <x:v>60</x:v>
      </x:c>
      <x:c r="E11" s="227" t="str">
        <x:v>days</x:v>
      </x:c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29" t="str">
        <x:v>DPO</x:v>
      </x:c>
      <x:c r="B12" s="239" t="n">
        <x:v>40</x:v>
      </x:c>
      <x:c r="C12" s="239" t="n">
        <x:v>37</x:v>
      </x:c>
      <x:c r="D12" s="239" t="n">
        <x:v>44</x:v>
      </x:c>
      <x:c r="E12" s="227" t="str">
        <x:v>days</x:v>
      </x:c>
      <x:c r="F12" s="227"/>
      <x:c r="G12" s="227"/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29" t="str">
        <x:v>CCC</x:v>
      </x:c>
      <x:c r="B13" s="239" t="n">
        <x:v>54</x:v>
      </x:c>
      <x:c r="C13" s="239" t="n">
        <x:v>48</x:v>
      </x:c>
      <x:c r="D13" s="239" t="n">
        <x:v>68</x:v>
      </x:c>
      <x:c r="E13" s="227" t="str">
        <x:v>days</x:v>
      </x:c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/>
      <x:c r="B14" s="227"/>
      <x:c r="C14" s="227"/>
      <x:c r="D14" s="227"/>
      <x:c r="E14" s="227"/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 ht="20" customHeight="1">
      <x:c r="A15" s="226" t="str">
        <x:v>COMMERCIAL / PLANNING HURDLES</x:v>
      </x:c>
      <x:c r="B15" s="226"/>
      <x:c r="C15" s="226"/>
      <x:c r="D15" s="226"/>
      <x:c r="E15" s="226"/>
      <x:c r="F15" s="227"/>
      <x:c r="G15" s="227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30" t="str">
        <x:v>Input</x:v>
      </x:c>
      <x:c r="B16" s="230" t="str">
        <x:v>Value</x:v>
      </x:c>
      <x:c r="C16" s="230" t="str">
        <x:v>Meaning</x:v>
      </x:c>
      <x:c r="D16" s="227"/>
      <x:c r="E16" s="227"/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>
      <x:c r="A17" s="227" t="str">
        <x:v>Contribution Margin Hurdle</x:v>
      </x:c>
      <x:c r="B17" s="240" t="n">
        <x:v>0.25</x:v>
      </x:c>
      <x:c r="C17" s="227" t="str">
        <x:v>Minimum channel CM for scale decision</x:v>
      </x:c>
      <x:c r="D17" s="227"/>
      <x:c r="E17" s="227"/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27" t="str">
        <x:v>Promo ROI Hurdle</x:v>
      </x:c>
      <x:c r="B18" s="240" t="n">
        <x:v>0.25</x:v>
      </x:c>
      <x:c r="C18" s="227" t="str">
        <x:v>Minimum incremental contribution / promo cost</x:v>
      </x:c>
      <x:c r="D18" s="227"/>
      <x:c r="E18" s="227"/>
      <x:c r="F18" s="227"/>
      <x:c r="G18" s="227"/>
      <x:c r="H18" s="227"/>
      <x:c r="I18" s="227"/>
      <x:c r="J18" s="227"/>
      <x:c r="K18" s="227"/>
      <x:c r="L18" s="227"/>
      <x:c r="M18" s="227"/>
      <x:c r="N18" s="227"/>
      <x:c r="O18" s="227"/>
    </x:row>
    <x:row r="19">
      <x:c r="A19" s="227" t="str">
        <x:v>Minimum Cash Guardrail</x:v>
      </x:c>
      <x:c r="B19" s="241" t="n">
        <x:v>8</x:v>
      </x:c>
      <x:c r="C19" s="227" t="str">
        <x:v>VND bn; long-range planning guardrail only</x:v>
      </x:c>
      <x:c r="D19" s="227"/>
      <x:c r="E19" s="227"/>
      <x:c r="F19" s="227"/>
      <x:c r="G19" s="227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27"/>
      <x:c r="B20" s="227"/>
      <x:c r="C20" s="227"/>
      <x:c r="D20" s="227"/>
      <x:c r="E20" s="227"/>
      <x:c r="F20" s="227"/>
      <x:c r="G20" s="227"/>
      <x:c r="H20" s="227"/>
      <x:c r="I20" s="227"/>
      <x:c r="J20" s="227"/>
      <x:c r="K20" s="227"/>
      <x:c r="L20" s="227"/>
      <x:c r="M20" s="227"/>
      <x:c r="N20" s="227"/>
      <x:c r="O20" s="227"/>
    </x:row>
    <x:row r="21">
      <x:c r="A21" s="231" t="str">
        <x:v>Source: https://github.com/susayold/commercial-finance-profitability-analytics/blob/main/data/scenarios/scenario_summary.csv
Evidence: SIMULATED / DERIVED. These are planning-case inputs, not reported company guidance.</x:v>
      </x:c>
      <x:c r="B21" s="231"/>
      <x:c r="C21" s="231"/>
      <x:c r="D21" s="231"/>
      <x:c r="E21" s="231"/>
      <x:c r="F21" s="227"/>
      <x:c r="G21" s="227"/>
      <x:c r="H21" s="227"/>
      <x:c r="I21" s="227"/>
      <x:c r="J21" s="227"/>
      <x:c r="K21" s="227"/>
      <x:c r="L21" s="227"/>
      <x:c r="M21" s="227"/>
      <x:c r="N21" s="227"/>
      <x:c r="O21" s="227"/>
    </x:row>
    <x:row r="22">
      <x:c r="A22" s="231"/>
      <x:c r="B22" s="231"/>
      <x:c r="C22" s="231"/>
      <x:c r="D22" s="231"/>
      <x:c r="E22" s="231"/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31"/>
      <x:c r="B23" s="231"/>
      <x:c r="C23" s="231"/>
      <x:c r="D23" s="231"/>
      <x:c r="E23" s="231"/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27"/>
      <x:c r="B24" s="227"/>
      <x:c r="C24" s="227"/>
      <x:c r="D24" s="227"/>
      <x:c r="E24" s="227"/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E1"/>
    <x:mergeCell ref="A2:E2"/>
    <x:mergeCell ref="A15:E15"/>
    <x:mergeCell ref="A21:E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8" customHeight="1">
      <x:c r="A1" s="226" t="str">
        <x:v>02 — Monthly Operating Actuals &amp; Comparators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7"/>
      <x:c r="N1" s="227"/>
      <x:c r="O1" s="227"/>
    </x:row>
    <x:row r="2" ht="34" customHeight="1">
      <x:c r="A2" s="228" t="str">
        <x:v>FY2025 simulated management-close observations with Budget / Forecast / Prior Year comparator layers.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8"/>
      <x:c r="L2" s="228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Month</x:v>
      </x:c>
      <x:c r="B4" s="230" t="str">
        <x:v>Actual Revenue</x:v>
      </x:c>
      <x:c r="C4" s="230" t="str">
        <x:v>Actual GP</x:v>
      </x:c>
      <x:c r="D4" s="230" t="str">
        <x:v>Gross Margin</x:v>
      </x:c>
      <x:c r="E4" s="230" t="str">
        <x:v>Contribution</x:v>
      </x:c>
      <x:c r="F4" s="230" t="str">
        <x:v>CM %</x:v>
      </x:c>
      <x:c r="G4" s="230" t="str">
        <x:v>OPEX</x:v>
      </x:c>
      <x:c r="H4" s="230" t="str">
        <x:v>EBITDA Proxy</x:v>
      </x:c>
      <x:c r="I4" s="230" t="str">
        <x:v>Budget Revenue</x:v>
      </x:c>
      <x:c r="J4" s="230" t="str">
        <x:v>Forecast Revenue</x:v>
      </x:c>
      <x:c r="K4" s="230" t="str">
        <x:v>Prior Revenue</x:v>
      </x:c>
      <x:c r="L4" s="230" t="str">
        <x:v>Evidence</x:v>
      </x:c>
      <x:c r="M4" s="227"/>
      <x:c r="N4" s="227"/>
      <x:c r="O4" s="227"/>
    </x:row>
    <x:row r="5">
      <x:c r="A5" s="227" t="str">
        <x:v>Jan-25</x:v>
      </x:c>
      <x:c r="B5" s="246" t="n">
        <x:v>6.657400854</x:v>
      </x:c>
      <x:c r="C5" s="246" t="n">
        <x:v>2.163656</x:v>
      </x:c>
      <x:c r="D5" s="247" t="n">
        <x:f>IFERROR(C5/B5,0)</x:f>
        <x:v>0.3250001085183266</x:v>
      </x:c>
      <x:c r="E5" s="248" t="n">
        <x:v>1.939723</x:v>
      </x:c>
      <x:c r="F5" s="247" t="n">
        <x:f>IFERROR(E5/B5,0)</x:f>
        <x:v>0.29136340781320785</x:v>
      </x:c>
      <x:c r="G5" s="246" t="n">
        <x:v>1.014963</x:v>
      </x:c>
      <x:c r="H5" s="249" t="n">
        <x:f>C5-G5</x:f>
        <x:v>1.148693</x:v>
      </x:c>
      <x:c r="I5" s="246" t="n">
        <x:v>6.424123</x:v>
      </x:c>
      <x:c r="J5" s="246" t="n">
        <x:v>6.636066</x:v>
      </x:c>
      <x:c r="K5" s="246" t="n">
        <x:v>6.307803</x:v>
      </x:c>
      <x:c r="L5" s="227" t="str">
        <x:v>SIMULATED</x:v>
      </x:c>
      <x:c r="M5" s="227"/>
      <x:c r="N5" s="227"/>
      <x:c r="O5" s="227"/>
    </x:row>
    <x:row r="6">
      <x:c r="A6" s="227" t="str">
        <x:v>Feb-25</x:v>
      </x:c>
      <x:c r="B6" s="246" t="n">
        <x:v>7.381484712</x:v>
      </x:c>
      <x:c r="C6" s="246" t="n">
        <x:v>2.399862</x:v>
      </x:c>
      <x:c r="D6" s="247" t="n">
        <x:f>IFERROR(C6/B6,0)</x:f>
        <x:v>0.32511914521729895</x:v>
      </x:c>
      <x:c r="E6" s="248" t="n">
        <x:v>2.158298</x:v>
      </x:c>
      <x:c r="F6" s="247" t="n">
        <x:f>IFERROR(E6/B6,0)</x:f>
        <x:v>0.2923934796601662</x:v>
      </x:c>
      <x:c r="G6" s="246" t="n">
        <x:v>1.03269</x:v>
      </x:c>
      <x:c r="H6" s="249" t="n">
        <x:f>C6-G6</x:f>
        <x:v>1.367172</x:v>
      </x:c>
      <x:c r="I6" s="246" t="n">
        <x:v>7.104162</x:v>
      </x:c>
      <x:c r="J6" s="246" t="n">
        <x:v>7.41101</x:v>
      </x:c>
      <x:c r="K6" s="246" t="n">
        <x:v>6.962618</x:v>
      </x:c>
      <x:c r="L6" s="227" t="str">
        <x:v>SIMULATED</x:v>
      </x:c>
      <x:c r="M6" s="227"/>
      <x:c r="N6" s="227"/>
      <x:c r="O6" s="227"/>
    </x:row>
    <x:row r="7">
      <x:c r="A7" s="227" t="str">
        <x:v>Mar-25</x:v>
      </x:c>
      <x:c r="B7" s="246" t="n">
        <x:v>7.109776347</x:v>
      </x:c>
      <x:c r="C7" s="246" t="n">
        <x:v>2.314706</x:v>
      </x:c>
      <x:c r="D7" s="247" t="n">
        <x:f>IFERROR(C7/B7,0)</x:f>
        <x:v>0.32556664050011924</x:v>
      </x:c>
      <x:c r="E7" s="248" t="n">
        <x:v>2.081956</x:v>
      </x:c>
      <x:c r="F7" s="247" t="n">
        <x:f>IFERROR(E7/B7,0)</x:f>
        <x:v>0.29283002704838806</x:v>
      </x:c>
      <x:c r="G7" s="246" t="n">
        <x:v>1.05528</x:v>
      </x:c>
      <x:c r="H7" s="249" t="n">
        <x:f>C7-G7</x:f>
        <x:v>1.2594260000000002</x:v>
      </x:c>
      <x:c r="I7" s="246" t="n">
        <x:v>6.87427</x:v>
      </x:c>
      <x:c r="J7" s="246" t="n">
        <x:v>7.144605</x:v>
      </x:c>
      <x:c r="K7" s="246" t="n">
        <x:v>6.712177</x:v>
      </x:c>
      <x:c r="L7" s="227" t="str">
        <x:v>SIMULATED</x:v>
      </x:c>
      <x:c r="M7" s="227"/>
      <x:c r="N7" s="227"/>
      <x:c r="O7" s="227"/>
    </x:row>
    <x:row r="8">
      <x:c r="A8" s="227" t="str">
        <x:v>Apr-25</x:v>
      </x:c>
      <x:c r="B8" s="246" t="n">
        <x:v>6.380397007</x:v>
      </x:c>
      <x:c r="C8" s="246" t="n">
        <x:v>2.081579</x:v>
      </x:c>
      <x:c r="D8" s="247" t="n">
        <x:f>IFERROR(C8/B8,0)</x:f>
        <x:v>0.32624599969504686</x:v>
      </x:c>
      <x:c r="E8" s="248" t="n">
        <x:v>1.860461</x:v>
      </x:c>
      <x:c r="F8" s="247" t="n">
        <x:f>IFERROR(E8/B8,0)</x:f>
        <x:v>0.29159016248657704</x:v>
      </x:c>
      <x:c r="G8" s="246" t="n">
        <x:v>1.123494</x:v>
      </x:c>
      <x:c r="H8" s="249" t="n">
        <x:f>C8-G8</x:f>
        <x:v>0.9580850000000001</x:v>
      </x:c>
      <x:c r="I8" s="246" t="n">
        <x:v>6.169256</x:v>
      </x:c>
      <x:c r="J8" s="246" t="n">
        <x:v>6.401671</x:v>
      </x:c>
      <x:c r="K8" s="246" t="n">
        <x:v>6.032611</x:v>
      </x:c>
      <x:c r="L8" s="227" t="str">
        <x:v>SIMULATED</x:v>
      </x:c>
      <x:c r="M8" s="227"/>
      <x:c r="N8" s="227"/>
      <x:c r="O8" s="227"/>
    </x:row>
    <x:row r="9">
      <x:c r="A9" s="227" t="str">
        <x:v>May-25</x:v>
      </x:c>
      <x:c r="B9" s="246" t="n">
        <x:v>6.031758952</x:v>
      </x:c>
      <x:c r="C9" s="246" t="n">
        <x:v>1.975583</x:v>
      </x:c>
      <x:c r="D9" s="247" t="n">
        <x:f>IFERROR(C9/B9,0)</x:f>
        <x:v>0.32753016420607123</x:v>
      </x:c>
      <x:c r="E9" s="248" t="n">
        <x:v>1.769733</x:v>
      </x:c>
      <x:c r="F9" s="247" t="n">
        <x:f>IFERROR(E9/B9,0)</x:f>
        <x:v>0.2934024741511255</x:v>
      </x:c>
      <x:c r="G9" s="246" t="n">
        <x:v>1.054207</x:v>
      </x:c>
      <x:c r="H9" s="249" t="n">
        <x:f>C9-G9</x:f>
        <x:v>0.9213760000000002</x:v>
      </x:c>
      <x:c r="I9" s="246" t="n">
        <x:v>5.842808</x:v>
      </x:c>
      <x:c r="J9" s="246" t="n">
        <x:v>6.012704</x:v>
      </x:c>
      <x:c r="K9" s="246" t="n">
        <x:v>5.721758</x:v>
      </x:c>
      <x:c r="L9" s="227" t="str">
        <x:v>SIMULATED</x:v>
      </x:c>
      <x:c r="M9" s="227"/>
      <x:c r="N9" s="227"/>
      <x:c r="O9" s="227"/>
    </x:row>
    <x:row r="10">
      <x:c r="A10" s="227" t="str">
        <x:v>Jun-25</x:v>
      </x:c>
      <x:c r="B10" s="246" t="n">
        <x:v>5.048628678</x:v>
      </x:c>
      <x:c r="C10" s="246" t="n">
        <x:v>1.661928</x:v>
      </x:c>
      <x:c r="D10" s="247" t="n">
        <x:f>IFERROR(C10/B10,0)</x:f>
        <x:v>0.32918404303371507</x:v>
      </x:c>
      <x:c r="E10" s="248" t="n">
        <x:v>1.491332</x:v>
      </x:c>
      <x:c r="F10" s="247" t="n">
        <x:f>IFERROR(E10/B10,0)</x:f>
        <x:v>0.295393481104811</x:v>
      </x:c>
      <x:c r="G10" s="246" t="n">
        <x:v>1.039266</x:v>
      </x:c>
      <x:c r="H10" s="249" t="n">
        <x:f>C10-G10</x:f>
        <x:v>0.622662</x:v>
      </x:c>
      <x:c r="I10" s="246" t="n">
        <x:v>4.87242</x:v>
      </x:c>
      <x:c r="J10" s="246" t="n">
        <x:v>5.033438</x:v>
      </x:c>
      <x:c r="K10" s="246" t="n">
        <x:v>4.769595</x:v>
      </x:c>
      <x:c r="L10" s="227" t="str">
        <x:v>SIMULATED</x:v>
      </x:c>
      <x:c r="M10" s="227"/>
      <x:c r="N10" s="227"/>
      <x:c r="O10" s="227"/>
    </x:row>
    <x:row r="11">
      <x:c r="A11" s="227" t="str">
        <x:v>Jul-25</x:v>
      </x:c>
      <x:c r="B11" s="246" t="n">
        <x:v>5.16270187</x:v>
      </x:c>
      <x:c r="C11" s="246" t="n">
        <x:v>1.714886</x:v>
      </x:c>
      <x:c r="D11" s="247" t="n">
        <x:f>IFERROR(C11/B11,0)</x:f>
        <x:v>0.33216831867922675</x:v>
      </x:c>
      <x:c r="E11" s="248" t="n">
        <x:v>1.533613</x:v>
      </x:c>
      <x:c r="F11" s="247" t="n">
        <x:f>IFERROR(E11/B11,0)</x:f>
        <x:v>0.2970562776269705</x:v>
      </x:c>
      <x:c r="G11" s="246" t="n">
        <x:v>1.048126</x:v>
      </x:c>
      <x:c r="H11" s="249" t="n">
        <x:f>C11-G11</x:f>
        <x:v>0.66676</x:v>
      </x:c>
      <x:c r="I11" s="246" t="n">
        <x:v>4.982478</x:v>
      </x:c>
      <x:c r="J11" s="246" t="n">
        <x:v>5.147963</x:v>
      </x:c>
      <x:c r="K11" s="246" t="n">
        <x:v>4.88181</x:v>
      </x:c>
      <x:c r="L11" s="227" t="str">
        <x:v>SIMULATED</x:v>
      </x:c>
      <x:c r="M11" s="227"/>
      <x:c r="N11" s="227"/>
      <x:c r="O11" s="227"/>
    </x:row>
    <x:row r="12">
      <x:c r="A12" s="227" t="str">
        <x:v>Aug-25</x:v>
      </x:c>
      <x:c r="B12" s="246" t="n">
        <x:v>6.832365784</x:v>
      </x:c>
      <x:c r="C12" s="246" t="n">
        <x:v>2.289321</x:v>
      </x:c>
      <x:c r="D12" s="247" t="n">
        <x:f>IFERROR(C12/B12,0)</x:f>
        <x:v>0.33507002879750974</x:v>
      </x:c>
      <x:c r="E12" s="248" t="n">
        <x:v>2.053626</x:v>
      </x:c>
      <x:c r="F12" s="247" t="n">
        <x:f>IFERROR(E12/B12,0)</x:f>
        <x:v>0.30057319308184155</x:v>
      </x:c>
      <x:c r="G12" s="246" t="n">
        <x:v>1.083304</x:v>
      </x:c>
      <x:c r="H12" s="249" t="n">
        <x:f>C12-G12</x:f>
        <x:v>1.2060170000000001</x:v>
      </x:c>
      <x:c r="I12" s="246" t="n">
        <x:v>6.599025</x:v>
      </x:c>
      <x:c r="J12" s="246" t="n">
        <x:v>6.861645</x:v>
      </x:c>
      <x:c r="K12" s="246" t="n">
        <x:v>6.465418</x:v>
      </x:c>
      <x:c r="L12" s="227" t="str">
        <x:v>SIMULATED</x:v>
      </x:c>
      <x:c r="M12" s="227"/>
      <x:c r="N12" s="227"/>
      <x:c r="O12" s="227"/>
    </x:row>
    <x:row r="13">
      <x:c r="A13" s="227" t="str">
        <x:v>Sep-25</x:v>
      </x:c>
      <x:c r="B13" s="246" t="n">
        <x:v>8.021865817</x:v>
      </x:c>
      <x:c r="C13" s="246" t="n">
        <x:v>2.70373</x:v>
      </x:c>
      <x:c r="D13" s="247" t="n">
        <x:f>IFERROR(C13/B13,0)</x:f>
        <x:v>0.337045029383343</x:v>
      </x:c>
      <x:c r="E13" s="248" t="n">
        <x:v>2.42956</x:v>
      </x:c>
      <x:c r="F13" s="247" t="n">
        <x:f>IFERROR(E13/B13,0)</x:f>
        <x:v>0.30286719516689714</x:v>
      </x:c>
      <x:c r="G13" s="246" t="n">
        <x:v>1.074382</x:v>
      </x:c>
      <x:c r="H13" s="249" t="n">
        <x:f>C13-G13</x:f>
        <x:v>1.6293480000000002</x:v>
      </x:c>
      <x:c r="I13" s="246" t="n">
        <x:v>7.744382</x:v>
      </x:c>
      <x:c r="J13" s="246" t="n">
        <x:v>8.026826</x:v>
      </x:c>
      <x:c r="K13" s="246" t="n">
        <x:v>7.570198</x:v>
      </x:c>
      <x:c r="L13" s="227" t="str">
        <x:v>SIMULATED</x:v>
      </x:c>
      <x:c r="M13" s="227"/>
      <x:c r="N13" s="227"/>
      <x:c r="O13" s="227"/>
    </x:row>
    <x:row r="14">
      <x:c r="A14" s="227" t="str">
        <x:v>Oct-25</x:v>
      </x:c>
      <x:c r="B14" s="246" t="n">
        <x:v>9.355722436</x:v>
      </x:c>
      <x:c r="C14" s="246" t="n">
        <x:v>3.169981</x:v>
      </x:c>
      <x:c r="D14" s="247" t="n">
        <x:f>IFERROR(C14/B14,0)</x:f>
        <x:v>0.3388280297630668</x:v>
      </x:c>
      <x:c r="E14" s="248" t="n">
        <x:v>2.858595</x:v>
      </x:c>
      <x:c r="F14" s="247" t="n">
        <x:f>IFERROR(E14/B14,0)</x:f>
        <x:v>0.30554508425777754</x:v>
      </x:c>
      <x:c r="G14" s="246" t="n">
        <x:v>1.089669</x:v>
      </x:c>
      <x:c r="H14" s="249" t="n">
        <x:f>C14-G14</x:f>
        <x:v>2.080312</x:v>
      </x:c>
      <x:c r="I14" s="246" t="n">
        <x:v>9.034299</x:v>
      </x:c>
      <x:c r="J14" s="246" t="n">
        <x:v>9.429753</x:v>
      </x:c>
      <x:c r="K14" s="246" t="n">
        <x:v>8.860155</x:v>
      </x:c>
      <x:c r="L14" s="227" t="str">
        <x:v>SIMULATED</x:v>
      </x:c>
      <x:c r="M14" s="227"/>
      <x:c r="N14" s="227"/>
      <x:c r="O14" s="227"/>
    </x:row>
    <x:row r="15">
      <x:c r="A15" s="227" t="str">
        <x:v>Nov-25</x:v>
      </x:c>
      <x:c r="B15" s="246" t="n">
        <x:v>8.182977287</x:v>
      </x:c>
      <x:c r="C15" s="246" t="n">
        <x:v>2.792611</x:v>
      </x:c>
      <x:c r="D15" s="247" t="n">
        <x:f>IFERROR(C15/B15,0)</x:f>
        <x:v>0.3412707749337787</x:v>
      </x:c>
      <x:c r="E15" s="248" t="n">
        <x:v>2.522687</x:v>
      </x:c>
      <x:c r="F15" s="247" t="n">
        <x:f>IFERROR(E15/B15,0)</x:f>
        <x:v>0.3082847369022644</x:v>
      </x:c>
      <x:c r="G15" s="246" t="n">
        <x:v>1.187346</x:v>
      </x:c>
      <x:c r="H15" s="249" t="n">
        <x:f>C15-G15</x:f>
        <x:v>1.605265</x:v>
      </x:c>
      <x:c r="I15" s="246" t="n">
        <x:v>7.902622</x:v>
      </x:c>
      <x:c r="J15" s="246" t="n">
        <x:v>8.159887</x:v>
      </x:c>
      <x:c r="K15" s="246" t="n">
        <x:v>7.743477</x:v>
      </x:c>
      <x:c r="L15" s="227" t="str">
        <x:v>SIMULATED</x:v>
      </x:c>
      <x:c r="M15" s="227"/>
      <x:c r="N15" s="227"/>
      <x:c r="O15" s="227"/>
    </x:row>
    <x:row r="16">
      <x:c r="A16" s="227" t="str">
        <x:v>Dec-25</x:v>
      </x:c>
      <x:c r="B16" s="246" t="n">
        <x:v>8.393501382</x:v>
      </x:c>
      <x:c r="C16" s="246" t="n">
        <x:v>2.877222</x:v>
      </x:c>
      <x:c r="D16" s="247" t="n">
        <x:f>IFERROR(C16/B16,0)</x:f>
        <x:v>0.3427916276001633</x:v>
      </x:c>
      <x:c r="E16" s="248" t="n">
        <x:v>2.594306</x:v>
      </x:c>
      <x:c r="F16" s="247" t="n">
        <x:f>IFERROR(E16/B16,0)</x:f>
        <x:v>0.30908507450341655</x:v>
      </x:c>
      <x:c r="G16" s="246" t="n">
        <x:v>1.290593</x:v>
      </x:c>
      <x:c r="H16" s="249" t="n">
        <x:f>C16-G16</x:f>
        <x:v>1.586629</x:v>
      </x:c>
      <x:c r="I16" s="246" t="n">
        <x:v>8.095227</x:v>
      </x:c>
      <x:c r="J16" s="246" t="n">
        <x:v>8.414904</x:v>
      </x:c>
      <x:c r="K16" s="246" t="n">
        <x:v>7.922702</x:v>
      </x:c>
      <x:c r="L16" s="227" t="str">
        <x:v>SIMULATED</x:v>
      </x:c>
      <x:c r="M16" s="227"/>
      <x:c r="N16" s="227"/>
      <x:c r="O16" s="227"/>
    </x:row>
    <x:row r="17">
      <x:c r="A17" s="227"/>
      <x:c r="B17" s="227"/>
      <x:c r="C17" s="227"/>
      <x:c r="D17" s="227"/>
      <x:c r="E17" s="227"/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29" t="str">
        <x:v>FY2025 Total / Avg</x:v>
      </x:c>
      <x:c r="B18" s="250" t="n">
        <x:f>SUM(B5:B16)</x:f>
        <x:v>84.55858112599999</x:v>
      </x:c>
      <x:c r="C18" s="250" t="n">
        <x:f>SUM(C5:C16)</x:f>
        <x:v>28.145065000000002</x:v>
      </x:c>
      <x:c r="D18" s="251" t="n">
        <x:f>C18/B18</x:f>
        <x:v>0.3328469402538968</x:v>
      </x:c>
      <x:c r="E18" s="251" t="n">
        <x:f>SUM(E5:E16)</x:f>
        <x:v>25.29389</x:v>
      </x:c>
      <x:c r="F18" s="251" t="n">
        <x:f>E18/B18</x:f>
        <x:v>0.29912860011581555</x:v>
      </x:c>
      <x:c r="G18" s="250" t="n">
        <x:f>SUM(G5:G16)</x:f>
        <x:v>13.09332</x:v>
      </x:c>
      <x:c r="H18" s="250" t="n">
        <x:f>SUM(H5:H16)</x:f>
        <x:v>15.051744999999999</x:v>
      </x:c>
      <x:c r="I18" s="250" t="n">
        <x:f>SUM(I5:I16)</x:f>
        <x:v>81.64507199999998</x:v>
      </x:c>
      <x:c r="J18" s="250" t="n">
        <x:f>SUM(J5:J16)</x:f>
        <x:v>84.68047200000001</x:v>
      </x:c>
      <x:c r="K18" s="250" t="n">
        <x:f>SUM(K5:K16)</x:f>
        <x:v>79.950322</x:v>
      </x:c>
      <x:c r="L18" s="229" t="str">
        <x:v>CONTROL</x:v>
      </x:c>
      <x:c r="M18" s="227"/>
      <x:c r="N18" s="227"/>
      <x:c r="O18" s="227"/>
    </x:row>
    <x:row r="19">
      <x:c r="A19" s="227"/>
      <x:c r="B19" s="227"/>
      <x:c r="C19" s="227"/>
      <x:c r="D19" s="227"/>
      <x:c r="E19" s="227"/>
      <x:c r="F19" s="227"/>
      <x:c r="G19" s="227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31" t="str">
        <x:v>Source: https://github.com/susayold/commercial-finance-profitability-analytics/blob/main/site/data/generated/page2-performance.json
This comparator layer is separate from the canonical FY2025 Base scenario.</x:v>
      </x:c>
      <x:c r="B20" s="231"/>
      <x:c r="C20" s="231"/>
      <x:c r="D20" s="231"/>
      <x:c r="E20" s="231"/>
      <x:c r="F20" s="231"/>
      <x:c r="G20" s="231"/>
      <x:c r="H20" s="231"/>
      <x:c r="I20" s="231"/>
      <x:c r="J20" s="231"/>
      <x:c r="K20" s="231"/>
      <x:c r="L20" s="231"/>
      <x:c r="M20" s="227"/>
      <x:c r="N20" s="227"/>
      <x:c r="O20" s="227"/>
    </x:row>
    <x:row r="21">
      <x:c r="A21" s="231"/>
      <x:c r="B21" s="231"/>
      <x:c r="C21" s="231"/>
      <x:c r="D21" s="231"/>
      <x:c r="E21" s="231"/>
      <x:c r="F21" s="231"/>
      <x:c r="G21" s="231"/>
      <x:c r="H21" s="231"/>
      <x:c r="I21" s="231"/>
      <x:c r="J21" s="231"/>
      <x:c r="K21" s="231"/>
      <x:c r="L21" s="231"/>
      <x:c r="M21" s="227"/>
      <x:c r="N21" s="227"/>
      <x:c r="O21" s="227"/>
    </x:row>
    <x:row r="22">
      <x:c r="A22" s="231"/>
      <x:c r="B22" s="231"/>
      <x:c r="C22" s="231"/>
      <x:c r="D22" s="231"/>
      <x:c r="E22" s="231"/>
      <x:c r="F22" s="231"/>
      <x:c r="G22" s="231"/>
      <x:c r="H22" s="231"/>
      <x:c r="I22" s="231"/>
      <x:c r="J22" s="231"/>
      <x:c r="K22" s="231"/>
      <x:c r="L22" s="231"/>
      <x:c r="M22" s="227"/>
      <x:c r="N22" s="227"/>
      <x:c r="O22" s="227"/>
    </x:row>
    <x:row r="23">
      <x:c r="A23" s="227"/>
      <x:c r="B23" s="227"/>
      <x:c r="C23" s="227"/>
      <x:c r="D23" s="227"/>
      <x:c r="E23" s="227"/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27"/>
      <x:c r="B24" s="227"/>
      <x:c r="C24" s="227"/>
      <x:c r="D24" s="227"/>
      <x:c r="E24" s="227"/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L1"/>
    <x:mergeCell ref="A2:L2"/>
    <x:mergeCell ref="A20:L2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2" hidden="0" customWidth="1"/>
  </x:cols>
  <x:sheetData>
    <x:row r="1" ht="28" customHeight="1">
      <x:c r="A1" s="226" t="str">
        <x:v>03 — P&amp;L Variance Analysis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6"/>
      <x:c r="L1" s="226"/>
      <x:c r="M1" s="226"/>
      <x:c r="N1" s="227"/>
      <x:c r="O1" s="227"/>
    </x:row>
    <x:row r="2" ht="34" customHeight="1">
      <x:c r="A2" s="228" t="str">
        <x:v>Formula-driven monthly Actual vs Budget vs Forecast. Green font = linked from another worksheet; black = calculation.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8"/>
      <x:c r="L2" s="228"/>
      <x:c r="M2" s="228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Month</x:v>
      </x:c>
      <x:c r="B4" s="230" t="str">
        <x:v>Actual Rev</x:v>
      </x:c>
      <x:c r="C4" s="230" t="str">
        <x:v>Budget Rev</x:v>
      </x:c>
      <x:c r="D4" s="230" t="str">
        <x:v>Var</x:v>
      </x:c>
      <x:c r="E4" s="230" t="str">
        <x:v>Var %</x:v>
      </x:c>
      <x:c r="F4" s="230" t="str">
        <x:v>Forecast Rev</x:v>
      </x:c>
      <x:c r="G4" s="230" t="str">
        <x:v>Var vs Fcst</x:v>
      </x:c>
      <x:c r="H4" s="230" t="str">
        <x:v>Var %</x:v>
      </x:c>
      <x:c r="I4" s="230" t="str">
        <x:v>Actual GP</x:v>
      </x:c>
      <x:c r="J4" s="230" t="str">
        <x:v>Budget GP</x:v>
      </x:c>
      <x:c r="K4" s="230" t="str">
        <x:v>GP Var</x:v>
      </x:c>
      <x:c r="L4" s="230" t="str">
        <x:v>GP Var %</x:v>
      </x:c>
      <x:c r="M4" s="230" t="str">
        <x:v>Management Readout</x:v>
      </x:c>
      <x:c r="N4" s="258" t="n">
        <x:v>2.124</x:v>
      </x:c>
      <x:c r="O4" s="227"/>
    </x:row>
    <x:row r="5">
      <x:c r="A5" s="259" t="str">
        <x:f>'02_Actuals'!A5</x:f>
        <x:v>Jan-25</x:v>
      </x:c>
      <x:c r="B5" s="260" t="n">
        <x:f>'02_Actuals'!B5</x:f>
        <x:v>6.657400854</x:v>
      </x:c>
      <x:c r="C5" s="260" t="n">
        <x:f>'02_Actuals'!I5</x:f>
        <x:v>6.424123</x:v>
      </x:c>
      <x:c r="D5" s="249" t="n">
        <x:f>B5-C5</x:f>
        <x:v>0.23327785399999978</x:v>
      </x:c>
      <x:c r="E5" s="247" t="n">
        <x:f>IFERROR(D5/C5,0)</x:f>
        <x:v>0.03631279382415308</x:v>
      </x:c>
      <x:c r="F5" s="260" t="n">
        <x:f>'02_Actuals'!J5</x:f>
        <x:v>6.636066</x:v>
      </x:c>
      <x:c r="G5" s="249" t="n">
        <x:f>B5-F5</x:f>
        <x:v>0.021334854000000014</x:v>
      </x:c>
      <x:c r="H5" s="247" t="n">
        <x:f>IFERROR(G5/F5,0)</x:f>
        <x:v>0.0032149852035829687</x:v>
      </x:c>
      <x:c r="I5" s="260" t="n">
        <x:f>'02_Actuals'!C5</x:f>
        <x:v>2.163656</x:v>
      </x:c>
      <x:c r="J5" s="246" t="n">
        <x:v>2.056</x:v>
      </x:c>
      <x:c r="K5" s="249" t="n">
        <x:f>I5-J5</x:f>
        <x:v>0.10765599999999997</x:v>
      </x:c>
      <x:c r="L5" s="247" t="n">
        <x:f>IFERROR(K5/J5,0)</x:f>
        <x:v>0.05236186770428014</x:v>
      </x:c>
      <x:c r="M5" s="292" t="str">
        <x:f>IF(ABS(E5)&gt;=0.03,"Investigate revenue driver",IF(ABS(L5)&gt;=0.03,"Investigate margin driver","Within review band"))</x:f>
        <x:v>Investigate revenue driver</x:v>
      </x:c>
      <x:c r="N5" s="258" t="n">
        <x:v>2.372</x:v>
      </x:c>
      <x:c r="O5" s="227"/>
    </x:row>
    <x:row r="6">
      <x:c r="A6" s="259" t="str">
        <x:f>'02_Actuals'!A6</x:f>
        <x:v>Feb-25</x:v>
      </x:c>
      <x:c r="B6" s="260" t="n">
        <x:f>'02_Actuals'!B6</x:f>
        <x:v>7.381484712</x:v>
      </x:c>
      <x:c r="C6" s="260" t="n">
        <x:f>'02_Actuals'!I6</x:f>
        <x:v>7.104162</x:v>
      </x:c>
      <x:c r="D6" s="249" t="n">
        <x:f>B6-C6</x:f>
        <x:v>0.27732271200000014</x:v>
      </x:c>
      <x:c r="E6" s="247" t="n">
        <x:f>IFERROR(D6/C6,0)</x:f>
        <x:v>0.03903665372495731</x:v>
      </x:c>
      <x:c r="F6" s="260" t="n">
        <x:f>'02_Actuals'!J6</x:f>
        <x:v>7.41101</x:v>
      </x:c>
      <x:c r="G6" s="249" t="n">
        <x:f>B6-F6</x:f>
        <x:v>-0.029525288000000316</x:v>
      </x:c>
      <x:c r="H6" s="247" t="n">
        <x:f>IFERROR(G6/F6,0)</x:f>
        <x:v>-0.003983976273139601</x:v>
      </x:c>
      <x:c r="I6" s="260" t="n">
        <x:f>'02_Actuals'!C6</x:f>
        <x:v>2.399862</x:v>
      </x:c>
      <x:c r="J6" s="246" t="n">
        <x:v>2.273</x:v>
      </x:c>
      <x:c r="K6" s="249" t="n">
        <x:f>I6-J6</x:f>
        <x:v>0.12686200000000003</x:v>
      </x:c>
      <x:c r="L6" s="247" t="n">
        <x:f>IFERROR(K6/J6,0)</x:f>
        <x:v>0.055812582490101195</x:v>
      </x:c>
      <x:c r="M6" s="292" t="str">
        <x:f>IF(ABS(E6)&gt;=0.03,"Investigate revenue driver",IF(ABS(L6)&gt;=0.03,"Investigate margin driver","Within review band"))</x:f>
        <x:v>Investigate revenue driver</x:v>
      </x:c>
      <x:c r="N6" s="258" t="n">
        <x:v>2.284</x:v>
      </x:c>
      <x:c r="O6" s="227"/>
    </x:row>
    <x:row r="7">
      <x:c r="A7" s="259" t="str">
        <x:f>'02_Actuals'!A7</x:f>
        <x:v>Mar-25</x:v>
      </x:c>
      <x:c r="B7" s="260" t="n">
        <x:f>'02_Actuals'!B7</x:f>
        <x:v>7.109776347</x:v>
      </x:c>
      <x:c r="C7" s="260" t="n">
        <x:f>'02_Actuals'!I7</x:f>
        <x:v>6.87427</x:v>
      </x:c>
      <x:c r="D7" s="249" t="n">
        <x:f>B7-C7</x:f>
        <x:v>0.23550634700000028</x:v>
      </x:c>
      <x:c r="E7" s="247" t="n">
        <x:f>IFERROR(D7/C7,0)</x:f>
        <x:v>0.03425910634874689</x:v>
      </x:c>
      <x:c r="F7" s="260" t="n">
        <x:f>'02_Actuals'!J7</x:f>
        <x:v>7.144605</x:v>
      </x:c>
      <x:c r="G7" s="249" t="n">
        <x:f>B7-F7</x:f>
        <x:v>-0.03482865299999993</x:v>
      </x:c>
      <x:c r="H7" s="247" t="n">
        <x:f>IFERROR(G7/F7,0)</x:f>
        <x:v>-0.00487481855190034</x:v>
      </x:c>
      <x:c r="I7" s="260" t="n">
        <x:f>'02_Actuals'!C7</x:f>
        <x:v>2.314706</x:v>
      </x:c>
      <x:c r="J7" s="246" t="n">
        <x:v>2.202</x:v>
      </x:c>
      <x:c r="K7" s="249" t="n">
        <x:f>I7-J7</x:f>
        <x:v>0.1127060000000002</x:v>
      </x:c>
      <x:c r="L7" s="247" t="n">
        <x:f>IFERROR(K7/J7,0)</x:f>
        <x:v>0.05118346957311544</x:v>
      </x:c>
      <x:c r="M7" s="292" t="str">
        <x:f>IF(ABS(E7)&gt;=0.03,"Investigate revenue driver",IF(ABS(L7)&gt;=0.03,"Investigate margin driver","Within review band"))</x:f>
        <x:v>Investigate revenue driver</x:v>
      </x:c>
      <x:c r="N7" s="258" t="n">
        <x:v>2.048</x:v>
      </x:c>
      <x:c r="O7" s="227"/>
    </x:row>
    <x:row r="8">
      <x:c r="A8" s="259" t="str">
        <x:f>'02_Actuals'!A8</x:f>
        <x:v>Apr-25</x:v>
      </x:c>
      <x:c r="B8" s="260" t="n">
        <x:f>'02_Actuals'!B8</x:f>
        <x:v>6.380397007</x:v>
      </x:c>
      <x:c r="C8" s="260" t="n">
        <x:f>'02_Actuals'!I8</x:f>
        <x:v>6.169256</x:v>
      </x:c>
      <x:c r="D8" s="249" t="n">
        <x:f>B8-C8</x:f>
        <x:v>0.21114100700000016</x:v>
      </x:c>
      <x:c r="E8" s="247" t="n">
        <x:f>IFERROR(D8/C8,0)</x:f>
        <x:v>0.03422471153733937</x:v>
      </x:c>
      <x:c r="F8" s="260" t="n">
        <x:f>'02_Actuals'!J8</x:f>
        <x:v>6.401671</x:v>
      </x:c>
      <x:c r="G8" s="249" t="n">
        <x:f>B8-F8</x:f>
        <x:v>-0.021273993000000324</x:v>
      </x:c>
      <x:c r="H8" s="247" t="n">
        <x:f>IFERROR(G8/F8,0)</x:f>
        <x:v>-0.003323193741134201</x:v>
      </x:c>
      <x:c r="I8" s="260" t="n">
        <x:f>'02_Actuals'!C8</x:f>
        <x:v>2.081579</x:v>
      </x:c>
      <x:c r="J8" s="246" t="n">
        <x:v>1.974</x:v>
      </x:c>
      <x:c r="K8" s="249" t="n">
        <x:f>I8-J8</x:f>
        <x:v>0.10757900000000009</x:v>
      </x:c>
      <x:c r="L8" s="247" t="n">
        <x:f>IFERROR(K8/J8,0)</x:f>
        <x:v>0.054497973657548174</x:v>
      </x:c>
      <x:c r="M8" s="292" t="str">
        <x:f>IF(ABS(E8)&gt;=0.03,"Investigate revenue driver",IF(ABS(L8)&gt;=0.03,"Investigate margin driver","Within review band"))</x:f>
        <x:v>Investigate revenue driver</x:v>
      </x:c>
      <x:c r="N8" s="258" t="n">
        <x:v>1.924</x:v>
      </x:c>
      <x:c r="O8" s="227"/>
    </x:row>
    <x:row r="9">
      <x:c r="A9" s="259" t="str">
        <x:f>'02_Actuals'!A9</x:f>
        <x:v>May-25</x:v>
      </x:c>
      <x:c r="B9" s="260" t="n">
        <x:f>'02_Actuals'!B9</x:f>
        <x:v>6.031758952</x:v>
      </x:c>
      <x:c r="C9" s="260" t="n">
        <x:f>'02_Actuals'!I9</x:f>
        <x:v>5.842808</x:v>
      </x:c>
      <x:c r="D9" s="249" t="n">
        <x:f>B9-C9</x:f>
        <x:v>0.1889509519999999</x:v>
      </x:c>
      <x:c r="E9" s="247" t="n">
        <x:f>IFERROR(D9/C9,0)</x:f>
        <x:v>0.0323390657368854</x:v>
      </x:c>
      <x:c r="F9" s="260" t="n">
        <x:f>'02_Actuals'!J9</x:f>
        <x:v>6.012704</x:v>
      </x:c>
      <x:c r="G9" s="249" t="n">
        <x:f>B9-F9</x:f>
        <x:v>0.019054951999999403</x:v>
      </x:c>
      <x:c r="H9" s="247" t="n">
        <x:f>IFERROR(G9/F9,0)</x:f>
        <x:v>0.003169115259956153</x:v>
      </x:c>
      <x:c r="I9" s="260" t="n">
        <x:f>'02_Actuals'!C9</x:f>
        <x:v>1.975583</x:v>
      </x:c>
      <x:c r="J9" s="246" t="n">
        <x:v>1.87</x:v>
      </x:c>
      <x:c r="K9" s="249" t="n">
        <x:f>I9-J9</x:f>
        <x:v>0.10558299999999998</x:v>
      </x:c>
      <x:c r="L9" s="247" t="n">
        <x:f>IFERROR(K9/J9,0)</x:f>
        <x:v>0.056461497326203196</x:v>
      </x:c>
      <x:c r="M9" s="292" t="str">
        <x:f>IF(ABS(E9)&gt;=0.03,"Investigate revenue driver",IF(ABS(L9)&gt;=0.03,"Investigate margin driver","Within review band"))</x:f>
        <x:v>Investigate revenue driver</x:v>
      </x:c>
      <x:c r="N9" s="258" t="n">
        <x:v>1.62</x:v>
      </x:c>
      <x:c r="O9" s="227"/>
    </x:row>
    <x:row r="10">
      <x:c r="A10" s="259" t="str">
        <x:f>'02_Actuals'!A10</x:f>
        <x:v>Jun-25</x:v>
      </x:c>
      <x:c r="B10" s="260" t="n">
        <x:f>'02_Actuals'!B10</x:f>
        <x:v>5.048628678</x:v>
      </x:c>
      <x:c r="C10" s="260" t="n">
        <x:f>'02_Actuals'!I10</x:f>
        <x:v>4.87242</x:v>
      </x:c>
      <x:c r="D10" s="249" t="n">
        <x:f>B10-C10</x:f>
        <x:v>0.17620867800000006</x:v>
      </x:c>
      <x:c r="E10" s="247" t="n">
        <x:f>IFERROR(D10/C10,0)</x:f>
        <x:v>0.036164509217185725</x:v>
      </x:c>
      <x:c r="F10" s="260" t="n">
        <x:f>'02_Actuals'!J10</x:f>
        <x:v>5.033438</x:v>
      </x:c>
      <x:c r="G10" s="249" t="n">
        <x:f>B10-F10</x:f>
        <x:v>0.015190677999999735</x:v>
      </x:c>
      <x:c r="H10" s="247" t="n">
        <x:f>IFERROR(G10/F10,0)</x:f>
        <x:v>0.003017952739260866</x:v>
      </x:c>
      <x:c r="I10" s="260" t="n">
        <x:f>'02_Actuals'!C10</x:f>
        <x:v>1.661928</x:v>
      </x:c>
      <x:c r="J10" s="246" t="n">
        <x:v>1.559</x:v>
      </x:c>
      <x:c r="K10" s="249" t="n">
        <x:f>I10-J10</x:f>
        <x:v>0.10292800000000013</x:v>
      </x:c>
      <x:c r="L10" s="247" t="n">
        <x:f>IFERROR(K10/J10,0)</x:f>
        <x:v>0.06602180885182818</x:v>
      </x:c>
      <x:c r="M10" s="292" t="str">
        <x:f>IF(ABS(E10)&gt;=0.03,"Investigate revenue driver",IF(ABS(L10)&gt;=0.03,"Investigate margin driver","Within review band"))</x:f>
        <x:v>Investigate revenue driver</x:v>
      </x:c>
      <x:c r="N10" s="258" t="n">
        <x:v>1.648</x:v>
      </x:c>
      <x:c r="O10" s="227"/>
    </x:row>
    <x:row r="11">
      <x:c r="A11" s="259" t="str">
        <x:f>'02_Actuals'!A11</x:f>
        <x:v>Jul-25</x:v>
      </x:c>
      <x:c r="B11" s="260" t="n">
        <x:f>'02_Actuals'!B11</x:f>
        <x:v>5.16270187</x:v>
      </x:c>
      <x:c r="C11" s="260" t="n">
        <x:f>'02_Actuals'!I11</x:f>
        <x:v>4.982478</x:v>
      </x:c>
      <x:c r="D11" s="249" t="n">
        <x:f>B11-C11</x:f>
        <x:v>0.18022386999999984</x:v>
      </x:c>
      <x:c r="E11" s="247" t="n">
        <x:f>IFERROR(D11/C11,0)</x:f>
        <x:v>0.03617153352207472</x:v>
      </x:c>
      <x:c r="F11" s="260" t="n">
        <x:f>'02_Actuals'!J11</x:f>
        <x:v>5.147963</x:v>
      </x:c>
      <x:c r="G11" s="249" t="n">
        <x:f>B11-F11</x:f>
        <x:v>0.014738870000000404</x:v>
      </x:c>
      <x:c r="H11" s="247" t="n">
        <x:f>IFERROR(G11/F11,0)</x:f>
        <x:v>0.002863048937997496</x:v>
      </x:c>
      <x:c r="I11" s="260" t="n">
        <x:f>'02_Actuals'!C11</x:f>
        <x:v>1.714886</x:v>
      </x:c>
      <x:c r="J11" s="246" t="n">
        <x:v>1.595</x:v>
      </x:c>
      <x:c r="K11" s="249" t="n">
        <x:f>I11-J11</x:f>
        <x:v>0.11988599999999994</x:v>
      </x:c>
      <x:c r="L11" s="247" t="n">
        <x:f>IFERROR(K11/J11,0)</x:f>
        <x:v>0.07516363636363632</x:v>
      </x:c>
      <x:c r="M11" s="292" t="str">
        <x:f>IF(ABS(E11)&gt;=0.03,"Investigate revenue driver",IF(ABS(L11)&gt;=0.03,"Investigate margin driver","Within review band"))</x:f>
        <x:v>Investigate revenue driver</x:v>
      </x:c>
      <x:c r="N11" s="258" t="n">
        <x:v>2.196</x:v>
      </x:c>
      <x:c r="O11" s="227"/>
    </x:row>
    <x:row r="12">
      <x:c r="A12" s="259" t="str">
        <x:f>'02_Actuals'!A12</x:f>
        <x:v>Aug-25</x:v>
      </x:c>
      <x:c r="B12" s="260" t="n">
        <x:f>'02_Actuals'!B12</x:f>
        <x:v>6.832365784</x:v>
      </x:c>
      <x:c r="C12" s="260" t="n">
        <x:f>'02_Actuals'!I12</x:f>
        <x:v>6.599025</x:v>
      </x:c>
      <x:c r="D12" s="249" t="n">
        <x:f>B12-C12</x:f>
        <x:v>0.23334078400000013</x:v>
      </x:c>
      <x:c r="E12" s="247" t="n">
        <x:f>IFERROR(D12/C12,0)</x:f>
        <x:v>0.03535988786222209</x:v>
      </x:c>
      <x:c r="F12" s="260" t="n">
        <x:f>'02_Actuals'!J12</x:f>
        <x:v>6.861645</x:v>
      </x:c>
      <x:c r="G12" s="249" t="n">
        <x:f>B12-F12</x:f>
        <x:v>-0.02927921599999994</x:v>
      </x:c>
      <x:c r="H12" s="247" t="n">
        <x:f>IFERROR(G12/F12,0)</x:f>
        <x:v>-0.004267084059288981</x:v>
      </x:c>
      <x:c r="I12" s="260" t="n">
        <x:f>'02_Actuals'!C12</x:f>
        <x:v>2.289321</x:v>
      </x:c>
      <x:c r="J12" s="246" t="n">
        <x:v>2.112</x:v>
      </x:c>
      <x:c r="K12" s="249" t="n">
        <x:f>I12-J12</x:f>
        <x:v>0.17732100000000006</x:v>
      </x:c>
      <x:c r="L12" s="247" t="n">
        <x:f>IFERROR(K12/J12,0)</x:f>
        <x:v>0.08395880681818184</x:v>
      </x:c>
      <x:c r="M12" s="292" t="str">
        <x:f>IF(ABS(E12)&gt;=0.03,"Investigate revenue driver",IF(ABS(L12)&gt;=0.03,"Investigate margin driver","Within review band"))</x:f>
        <x:v>Investigate revenue driver</x:v>
      </x:c>
      <x:c r="N12" s="258" t="n">
        <x:v>2.568</x:v>
      </x:c>
      <x:c r="O12" s="227"/>
    </x:row>
    <x:row r="13">
      <x:c r="A13" s="259" t="str">
        <x:f>'02_Actuals'!A13</x:f>
        <x:v>Sep-25</x:v>
      </x:c>
      <x:c r="B13" s="260" t="n">
        <x:f>'02_Actuals'!B13</x:f>
        <x:v>8.021865817</x:v>
      </x:c>
      <x:c r="C13" s="260" t="n">
        <x:f>'02_Actuals'!I13</x:f>
        <x:v>7.744382</x:v>
      </x:c>
      <x:c r="D13" s="249" t="n">
        <x:f>B13-C13</x:f>
        <x:v>0.27748381700000024</x:v>
      </x:c>
      <x:c r="E13" s="247" t="n">
        <x:f>IFERROR(D13/C13,0)</x:f>
        <x:v>0.03583033701075183</x:v>
      </x:c>
      <x:c r="F13" s="260" t="n">
        <x:f>'02_Actuals'!J13</x:f>
        <x:v>8.026826</x:v>
      </x:c>
      <x:c r="G13" s="249" t="n">
        <x:f>B13-F13</x:f>
        <x:v>-0.004960182999999674</x:v>
      </x:c>
      <x:c r="H13" s="247" t="n">
        <x:f>IFERROR(G13/F13,0)</x:f>
        <x:v>-0.0006179507317088565</x:v>
      </x:c>
      <x:c r="I13" s="260" t="n">
        <x:f>'02_Actuals'!C13</x:f>
        <x:v>2.70373</x:v>
      </x:c>
      <x:c r="J13" s="246" t="n">
        <x:v>2.478</x:v>
      </x:c>
      <x:c r="K13" s="249" t="n">
        <x:f>I13-J13</x:f>
        <x:v>0.22573</x:v>
      </x:c>
      <x:c r="L13" s="247" t="n">
        <x:f>IFERROR(K13/J13,0)</x:f>
        <x:v>0.09109362389023405</x:v>
      </x:c>
      <x:c r="M13" s="292" t="str">
        <x:f>IF(ABS(E13)&gt;=0.03,"Investigate revenue driver",IF(ABS(L13)&gt;=0.03,"Investigate margin driver","Within review band"))</x:f>
        <x:v>Investigate revenue driver</x:v>
      </x:c>
      <x:c r="N13" s="258" t="n">
        <x:v>3.017</x:v>
      </x:c>
      <x:c r="O13" s="227"/>
    </x:row>
    <x:row r="14">
      <x:c r="A14" s="259" t="str">
        <x:f>'02_Actuals'!A14</x:f>
        <x:v>Oct-25</x:v>
      </x:c>
      <x:c r="B14" s="260" t="n">
        <x:f>'02_Actuals'!B14</x:f>
        <x:v>9.355722436</x:v>
      </x:c>
      <x:c r="C14" s="260" t="n">
        <x:f>'02_Actuals'!I14</x:f>
        <x:v>9.034299</x:v>
      </x:c>
      <x:c r="D14" s="249" t="n">
        <x:f>B14-C14</x:f>
        <x:v>0.3214234359999999</x:v>
      </x:c>
      <x:c r="E14" s="247" t="n">
        <x:f>IFERROR(D14/C14,0)</x:f>
        <x:v>0.03557812686961101</x:v>
      </x:c>
      <x:c r="F14" s="260" t="n">
        <x:f>'02_Actuals'!J14</x:f>
        <x:v>9.429753</x:v>
      </x:c>
      <x:c r="G14" s="249" t="n">
        <x:f>B14-F14</x:f>
        <x:v>-0.07403056399999919</x:v>
      </x:c>
      <x:c r="H14" s="247" t="n">
        <x:f>IFERROR(G14/F14,0)</x:f>
        <x:v>-0.007850742644054323</x:v>
      </x:c>
      <x:c r="I14" s="260" t="n">
        <x:f>'02_Actuals'!C14</x:f>
        <x:v>3.169981</x:v>
      </x:c>
      <x:c r="J14" s="246" t="n">
        <x:v>2.891</x:v>
      </x:c>
      <x:c r="K14" s="249" t="n">
        <x:f>I14-J14</x:f>
        <x:v>0.2789809999999999</x:v>
      </x:c>
      <x:c r="L14" s="247" t="n">
        <x:f>IFERROR(K14/J14,0)</x:f>
        <x:v>0.09649982704946383</x:v>
      </x:c>
      <x:c r="M14" s="292" t="str">
        <x:f>IF(ABS(E14)&gt;=0.03,"Investigate revenue driver",IF(ABS(L14)&gt;=0.03,"Investigate margin driver","Within review band"))</x:f>
        <x:v>Investigate revenue driver</x:v>
      </x:c>
      <x:c r="N14" s="258" t="n">
        <x:v>2.611</x:v>
      </x:c>
      <x:c r="O14" s="227"/>
    </x:row>
    <x:row r="15">
      <x:c r="A15" s="259" t="str">
        <x:f>'02_Actuals'!A15</x:f>
        <x:v>Nov-25</x:v>
      </x:c>
      <x:c r="B15" s="260" t="n">
        <x:f>'02_Actuals'!B15</x:f>
        <x:v>8.182977287</x:v>
      </x:c>
      <x:c r="C15" s="260" t="n">
        <x:f>'02_Actuals'!I15</x:f>
        <x:v>7.902622</x:v>
      </x:c>
      <x:c r="D15" s="249" t="n">
        <x:f>B15-C15</x:f>
        <x:v>0.2803552869999999</x:v>
      </x:c>
      <x:c r="E15" s="247" t="n">
        <x:f>IFERROR(D15/C15,0)</x:f>
        <x:v>0.03547623649467226</x:v>
      </x:c>
      <x:c r="F15" s="260" t="n">
        <x:f>'02_Actuals'!J15</x:f>
        <x:v>8.159887</x:v>
      </x:c>
      <x:c r="G15" s="249" t="n">
        <x:f>B15-F15</x:f>
        <x:v>0.023090287000000487</x:v>
      </x:c>
      <x:c r="H15" s="247" t="n">
        <x:f>IFERROR(G15/F15,0)</x:f>
        <x:v>0.002829731220542697</x:v>
      </x:c>
      <x:c r="I15" s="260" t="n">
        <x:f>'02_Actuals'!C15</x:f>
        <x:v>2.792611</x:v>
      </x:c>
      <x:c r="J15" s="246" t="n">
        <x:v>2.529</x:v>
      </x:c>
      <x:c r="K15" s="249" t="n">
        <x:f>I15-J15</x:f>
        <x:v>0.26361100000000004</x:v>
      </x:c>
      <x:c r="L15" s="247" t="n">
        <x:f>IFERROR(K15/J15,0)</x:f>
        <x:v>0.10423527085804668</x:v>
      </x:c>
      <x:c r="M15" s="292" t="str">
        <x:f>IF(ABS(E15)&gt;=0.03,"Investigate revenue driver",IF(ABS(L15)&gt;=0.03,"Investigate margin driver","Within review band"))</x:f>
        <x:v>Investigate revenue driver</x:v>
      </x:c>
      <x:c r="N15" s="258" t="n">
        <x:v>2.692</x:v>
      </x:c>
      <x:c r="O15" s="227"/>
    </x:row>
    <x:row r="16">
      <x:c r="A16" s="259" t="str">
        <x:f>'02_Actuals'!A16</x:f>
        <x:v>Dec-25</x:v>
      </x:c>
      <x:c r="B16" s="260" t="n">
        <x:f>'02_Actuals'!B16</x:f>
        <x:v>8.393501382</x:v>
      </x:c>
      <x:c r="C16" s="260" t="n">
        <x:f>'02_Actuals'!I16</x:f>
        <x:v>8.095227</x:v>
      </x:c>
      <x:c r="D16" s="249" t="n">
        <x:f>B16-C16</x:f>
        <x:v>0.29827438200000067</x:v>
      </x:c>
      <x:c r="E16" s="247" t="n">
        <x:f>IFERROR(D16/C16,0)</x:f>
        <x:v>0.03684570945323716</x:v>
      </x:c>
      <x:c r="F16" s="260" t="n">
        <x:f>'02_Actuals'!J16</x:f>
        <x:v>8.414904</x:v>
      </x:c>
      <x:c r="G16" s="249" t="n">
        <x:f>B16-F16</x:f>
        <x:v>-0.021402617999999762</x:v>
      </x:c>
      <x:c r="H16" s="247" t="n">
        <x:f>IFERROR(G16/F16,0)</x:f>
        <x:v>-0.002543417964126479</x:v>
      </x:c>
      <x:c r="I16" s="260" t="n">
        <x:f>'02_Actuals'!C16</x:f>
        <x:v>2.877222</x:v>
      </x:c>
      <x:c r="J16" s="246" t="n">
        <x:v>2.59</x:v>
      </x:c>
      <x:c r="K16" s="249" t="n">
        <x:f>I16-J16</x:f>
        <x:v>0.2872220000000003</x:v>
      </x:c>
      <x:c r="L16" s="247" t="n">
        <x:f>IFERROR(K16/J16,0)</x:f>
        <x:v>0.11089652509652523</x:v>
      </x:c>
      <x:c r="M16" s="292" t="str">
        <x:f>IF(ABS(E16)&gt;=0.03,"Investigate revenue driver",IF(ABS(L16)&gt;=0.03,"Investigate margin driver","Within review band"))</x:f>
        <x:v>Investigate revenue driver</x:v>
      </x:c>
      <x:c r="N16" s="227"/>
      <x:c r="O16" s="227"/>
    </x:row>
    <x:row r="17">
      <x:c r="A17" s="227"/>
      <x:c r="B17" s="227"/>
      <x:c r="C17" s="227"/>
      <x:c r="D17" s="227"/>
      <x:c r="E17" s="227"/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27"/>
      <x:c r="B18" s="227"/>
      <x:c r="C18" s="227"/>
      <x:c r="D18" s="227"/>
      <x:c r="E18" s="227"/>
      <x:c r="F18" s="227"/>
      <x:c r="G18" s="227"/>
      <x:c r="H18" s="227"/>
      <x:c r="I18" s="227"/>
      <x:c r="J18" s="227"/>
      <x:c r="K18" s="227"/>
      <x:c r="L18" s="227"/>
      <x:c r="M18" s="227"/>
      <x:c r="N18" s="227"/>
      <x:c r="O18" s="227"/>
    </x:row>
    <x:row r="19" ht="20" customHeight="1">
      <x:c r="A19" s="226" t="str">
        <x:v>FY2025 SUMMARY</x:v>
      </x:c>
      <x:c r="B19" s="226"/>
      <x:c r="C19" s="226"/>
      <x:c r="D19" s="226"/>
      <x:c r="E19" s="226"/>
      <x:c r="F19" s="226"/>
      <x:c r="G19" s="226"/>
      <x:c r="H19" s="226"/>
      <x:c r="I19" s="226"/>
      <x:c r="J19" s="226"/>
      <x:c r="K19" s="226"/>
      <x:c r="L19" s="226"/>
      <x:c r="M19" s="226"/>
      <x:c r="N19" s="227"/>
      <x:c r="O19" s="227"/>
    </x:row>
    <x:row r="20">
      <x:c r="A20" s="230" t="str">
        <x:v>Metric</x:v>
      </x:c>
      <x:c r="B20" s="230" t="str">
        <x:v>Actual</x:v>
      </x:c>
      <x:c r="C20" s="230" t="str">
        <x:v>Budget</x:v>
      </x:c>
      <x:c r="D20" s="230" t="str">
        <x:v>Variance</x:v>
      </x:c>
      <x:c r="E20" s="230" t="str">
        <x:v>Variance %</x:v>
      </x:c>
      <x:c r="F20" s="230" t="str">
        <x:v>Forecast</x:v>
      </x:c>
      <x:c r="G20" s="230" t="str">
        <x:v>Var vs Fcst</x:v>
      </x:c>
      <x:c r="H20" s="230" t="str">
        <x:v>Var %</x:v>
      </x:c>
      <x:c r="I20" s="227"/>
      <x:c r="J20" s="227"/>
      <x:c r="K20" s="227"/>
      <x:c r="L20" s="227"/>
      <x:c r="M20" s="227"/>
      <x:c r="N20" s="227"/>
      <x:c r="O20" s="227"/>
    </x:row>
    <x:row r="21">
      <x:c r="A21" s="227" t="str">
        <x:v>Revenue</x:v>
      </x:c>
      <x:c r="B21" s="262" t="n">
        <x:f>'02_Actuals'!B18</x:f>
        <x:v>84.55858112599999</x:v>
      </x:c>
      <x:c r="C21" s="262" t="n">
        <x:f>'02_Actuals'!I18</x:f>
        <x:v>81.64507199999998</x:v>
      </x:c>
      <x:c r="D21" s="262" t="n">
        <x:f>B21-C21</x:f>
        <x:v>2.913509126000008</x:v>
      </x:c>
      <x:c r="E21" s="262" t="n">
        <x:f>D21/C21</x:f>
        <x:v>0.03568505795426341</x:v>
      </x:c>
      <x:c r="F21" s="262" t="n">
        <x:f>'02_Actuals'!J18</x:f>
        <x:v>84.68047200000001</x:v>
      </x:c>
      <x:c r="G21" s="262" t="n">
        <x:f>B21-F21</x:f>
        <x:v>-0.12189087400001597</x:v>
      </x:c>
      <x:c r="H21" s="262" t="n">
        <x:f>G21/F21</x:f>
        <x:v>-0.0014394212871181912</x:v>
      </x:c>
      <x:c r="I21" s="227"/>
      <x:c r="J21" s="227"/>
      <x:c r="K21" s="227"/>
      <x:c r="L21" s="227"/>
      <x:c r="M21" s="227"/>
      <x:c r="N21" s="227"/>
      <x:c r="O21" s="227"/>
    </x:row>
    <x:row r="22">
      <x:c r="A22" s="227" t="str">
        <x:v>Gross Profit</x:v>
      </x:c>
      <x:c r="B22" s="262" t="n">
        <x:f>'02_Actuals'!C18</x:f>
        <x:v>28.145065000000002</x:v>
      </x:c>
      <x:c r="C22" s="262" t="n">
        <x:f>SUM(J5:J16)</x:f>
        <x:v>26.128999999999998</x:v>
      </x:c>
      <x:c r="D22" s="262" t="n">
        <x:f>B22-C22</x:f>
        <x:v>2.0160650000000047</x:v>
      </x:c>
      <x:c r="E22" s="262" t="n">
        <x:f>D22/C22</x:f>
        <x:v>0.07715813846683779</x:v>
      </x:c>
      <x:c r="F22" s="262" t="n">
        <x:f>SUM(N4:N15)</x:f>
        <x:v>27.104000000000003</x:v>
      </x:c>
      <x:c r="G22" s="262" t="n">
        <x:f>B22-F22</x:f>
        <x:v>1.0410649999999997</x:v>
      </x:c>
      <x:c r="H22" s="262" t="n">
        <x:f>G22/F22</x:f>
        <x:v>0.038410013282172355</x:v>
      </x:c>
      <x:c r="I22" s="227"/>
      <x:c r="J22" s="227"/>
      <x:c r="K22" s="227"/>
      <x:c r="L22" s="227"/>
      <x:c r="M22" s="227"/>
      <x:c r="N22" s="227"/>
      <x:c r="O22" s="227"/>
    </x:row>
    <x:row r="23">
      <x:c r="A23" s="227" t="str">
        <x:v>Gross Margin</x:v>
      </x:c>
      <x:c r="B23" s="263" t="n">
        <x:f>B22/B21</x:f>
        <x:v>0.3328469402538968</x:v>
      </x:c>
      <x:c r="C23" s="263" t="n">
        <x:f>C22/C21</x:f>
        <x:v>0.32003156295826407</x:v>
      </x:c>
      <x:c r="D23" s="263" t="n">
        <x:f>B23-C23</x:f>
        <x:v>0.012815377295632702</x:v>
      </x:c>
      <x:c r="E23" s="263" t="n">
        <x:f>D23</x:f>
        <x:v>0.012815377295632702</x:v>
      </x:c>
      <x:c r="F23" s="263" t="n">
        <x:f>F22/F21</x:f>
        <x:v>0.320073794581589</x:v>
      </x:c>
      <x:c r="G23" s="263" t="n">
        <x:f>B23-F23</x:f>
        <x:v>0.01277314567230775</x:v>
      </x:c>
      <x:c r="H23" s="263" t="n">
        <x:f>G23</x:f>
        <x:v>0.01277314567230775</x:v>
      </x:c>
      <x:c r="I23" s="227"/>
      <x:c r="J23" s="227"/>
      <x:c r="K23" s="227"/>
      <x:c r="L23" s="227"/>
      <x:c r="M23" s="227"/>
      <x:c r="N23" s="227"/>
      <x:c r="O23" s="227"/>
    </x:row>
    <x:row r="24">
      <x:c r="A24" s="227" t="str">
        <x:v>EBITDA Proxy</x:v>
      </x:c>
      <x:c r="B24" s="262" t="n">
        <x:f>'02_Actuals'!H18</x:f>
        <x:v>15.051744999999999</x:v>
      </x:c>
      <x:c r="C24" s="262" t="n">
        <x:v>14.77086</x:v>
      </x:c>
      <x:c r="D24" s="262" t="n">
        <x:f>B24-C24</x:f>
        <x:v>0.28088499999999783</x:v>
      </x:c>
      <x:c r="E24" s="262" t="n">
        <x:f>D24/C24</x:f>
        <x:v>0.01901615748846024</x:v>
      </x:c>
      <x:c r="F24" s="262" t="n">
        <x:v>15.073184</x:v>
      </x:c>
      <x:c r="G24" s="262" t="n">
        <x:f>B24-F24</x:f>
        <x:v>-0.021439000000000874</x:v>
      </x:c>
      <x:c r="H24" s="262" t="n">
        <x:f>G24/F24</x:f>
        <x:v>-0.0014223272269482596</x:v>
      </x:c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M1"/>
    <x:mergeCell ref="A2:M2"/>
    <x:mergeCell ref="A19:M19"/>
  </x:mergeCells>
  <x:conditionalFormatting sqref="D5:D16">
    <x:cfRule type="expression" dxfId="0" priority="1">
      <x:formula>D5&lt;0</x:formula>
    </x:cfRule>
    <x:cfRule type="expression" dxfId="1" priority="2">
      <x:formula>D5&gt;0</x:formula>
    </x:cfRule>
  </x:conditionalFormatting>
  <x:conditionalFormatting sqref="K5:K16">
    <x:cfRule type="expression" dxfId="2" priority="3">
      <x:formula>K5&lt;0</x:formula>
    </x:cfRule>
    <x:cfRule type="expression" dxfId="3" priority="4">
      <x:formula>K5&gt;0</x:formula>
    </x:cfRule>
  </x:conditionalFormatting>
  <x:pageMargins left="0.7" right="0.7" top="0.75" bottom="0.75" header="0.3" footer="0.3"/>
  <x:drawing xmlns:r="http://schemas.openxmlformats.org/officeDocument/2006/relationships" r:id="R422b6e6291844cc4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26" hidden="0" customWidth="1"/>
  </x:cols>
  <x:sheetData>
    <x:row r="1" ht="28" customHeight="1">
      <x:c r="A1" s="226" t="str">
        <x:v>04 — Commercial Profitability &amp; Decision Hurdles</x:v>
      </x:c>
      <x:c r="B1" s="226"/>
      <x:c r="C1" s="226"/>
      <x:c r="D1" s="226"/>
      <x:c r="E1" s="226"/>
      <x:c r="F1" s="226"/>
      <x:c r="G1" s="226"/>
      <x:c r="H1" s="226"/>
      <x:c r="I1" s="226"/>
      <x:c r="J1" s="226"/>
      <x:c r="K1" s="227"/>
      <x:c r="L1" s="227"/>
      <x:c r="M1" s="227"/>
      <x:c r="N1" s="227"/>
      <x:c r="O1" s="227"/>
    </x:row>
    <x:row r="2" ht="34" customHeight="1">
      <x:c r="A2" s="228" t="str">
        <x:v>Channel economics linked to contribution margin and a 25% scale hurdle. Includes SUMIFS recruiter demo.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Channel</x:v>
      </x:c>
      <x:c r="B4" s="230" t="str">
        <x:v>Net Revenue</x:v>
      </x:c>
      <x:c r="C4" s="230" t="str">
        <x:v>Contribution</x:v>
      </x:c>
      <x:c r="D4" s="230" t="str">
        <x:v>CM %</x:v>
      </x:c>
      <x:c r="E4" s="230" t="str">
        <x:v>GTN %</x:v>
      </x:c>
      <x:c r="F4" s="230" t="str">
        <x:v>Fee %</x:v>
      </x:c>
      <x:c r="G4" s="230" t="str">
        <x:v>Terms (d)</x:v>
      </x:c>
      <x:c r="H4" s="230" t="str">
        <x:v>Decision</x:v>
      </x:c>
      <x:c r="I4" s="227"/>
      <x:c r="J4" s="227"/>
      <x:c r="K4" s="227"/>
      <x:c r="L4" s="227"/>
      <x:c r="M4" s="227"/>
      <x:c r="N4" s="227"/>
      <x:c r="O4" s="227"/>
    </x:row>
    <x:row r="5">
      <x:c r="A5" s="258" t="str">
        <x:v>General Trade</x:v>
      </x:c>
      <x:c r="B5" s="246" t="n">
        <x:v>30.648647</x:v>
      </x:c>
      <x:c r="C5" s="246" t="n">
        <x:v>8.231199</x:v>
      </x:c>
      <x:c r="D5" s="240" t="n">
        <x:v>0.268566</x:v>
      </x:c>
      <x:c r="E5" s="240" t="n">
        <x:v>0.10549</x:v>
      </x:c>
      <x:c r="F5" s="240" t="n">
        <x:v>0.004</x:v>
      </x:c>
      <x:c r="G5" s="258" t="n">
        <x:v>47</x:v>
      </x:c>
      <x:c r="H5" s="227" t="str">
        <x:f>IF(D5&gt;='01_Assumptions'!$B$17,"SCALE / PROTECT","REVIEW TERMS")</x:f>
        <x:v>SCALE / PROTECT</x:v>
      </x:c>
      <x:c r="I5" s="227"/>
      <x:c r="J5" s="227"/>
      <x:c r="K5" s="227"/>
      <x:c r="L5" s="227"/>
      <x:c r="M5" s="227"/>
      <x:c r="N5" s="227"/>
      <x:c r="O5" s="227"/>
    </x:row>
    <x:row r="6">
      <x:c r="A6" s="258" t="str">
        <x:v>Modern Trade</x:v>
      </x:c>
      <x:c r="B6" s="246" t="n">
        <x:v>20.717037</x:v>
      </x:c>
      <x:c r="C6" s="246" t="n">
        <x:v>5.04114</x:v>
      </x:c>
      <x:c r="D6" s="240" t="n">
        <x:v>0.24332</x:v>
      </x:c>
      <x:c r="E6" s="240" t="n">
        <x:v>0.1059</x:v>
      </x:c>
      <x:c r="F6" s="240" t="n">
        <x:v>0.016</x:v>
      </x:c>
      <x:c r="G6" s="258" t="n">
        <x:v>51</x:v>
      </x:c>
      <x:c r="H6" s="227" t="str">
        <x:f>IF(D6&gt;='01_Assumptions'!$B$17,"SCALE / PROTECT","REVIEW TERMS")</x:f>
        <x:v>REVIEW TERMS</x:v>
      </x:c>
      <x:c r="I6" s="227"/>
      <x:c r="J6" s="227"/>
      <x:c r="K6" s="227"/>
      <x:c r="L6" s="227"/>
      <x:c r="M6" s="227"/>
      <x:c r="N6" s="227"/>
      <x:c r="O6" s="227"/>
    </x:row>
    <x:row r="7">
      <x:c r="A7" s="258" t="str">
        <x:v>Marketplace</x:v>
      </x:c>
      <x:c r="B7" s="246" t="n">
        <x:v>14.308185</x:v>
      </x:c>
      <x:c r="C7" s="246" t="n">
        <x:v>3.398917</x:v>
      </x:c>
      <x:c r="D7" s="240" t="n">
        <x:v>0.23754999999999998</x:v>
      </x:c>
      <x:c r="E7" s="240" t="n">
        <x:v>0.14673</x:v>
      </x:c>
      <x:c r="F7" s="240" t="n">
        <x:v>0.018000000000000002</x:v>
      </x:c>
      <x:c r="G7" s="258" t="n">
        <x:v>52</x:v>
      </x:c>
      <x:c r="H7" s="227" t="str">
        <x:f>IF(D7&gt;='01_Assumptions'!$B$17,"SCALE / PROTECT","REVIEW TERMS")</x:f>
        <x:v>REVIEW TERMS</x:v>
      </x:c>
      <x:c r="I7" s="227"/>
      <x:c r="J7" s="227"/>
      <x:c r="K7" s="227"/>
      <x:c r="L7" s="227"/>
      <x:c r="M7" s="227"/>
      <x:c r="N7" s="227"/>
      <x:c r="O7" s="227"/>
    </x:row>
    <x:row r="8">
      <x:c r="A8" s="258" t="str">
        <x:v>D2C</x:v>
      </x:c>
      <x:c r="B8" s="246" t="n">
        <x:v>9.376677</x:v>
      </x:c>
      <x:c r="C8" s="246" t="n">
        <x:v>2.03987</x:v>
      </x:c>
      <x:c r="D8" s="240" t="n">
        <x:v>0.21755</x:v>
      </x:c>
      <x:c r="E8" s="240" t="n">
        <x:v>0.14075</x:v>
      </x:c>
      <x:c r="F8" s="240" t="n">
        <x:v>0.024</x:v>
      </x:c>
      <x:c r="G8" s="258" t="n">
        <x:v>6</x:v>
      </x:c>
      <x:c r="H8" s="227" t="str">
        <x:f>IF(D8&gt;='01_Assumptions'!$B$17,"SCALE / PROTECT","REVIEW TERMS")</x:f>
        <x:v>REVIEW TERMS</x:v>
      </x:c>
      <x:c r="I8" s="227"/>
      <x:c r="J8" s="227"/>
      <x:c r="K8" s="227"/>
      <x:c r="L8" s="227"/>
      <x:c r="M8" s="227"/>
      <x:c r="N8" s="227"/>
      <x:c r="O8" s="227"/>
    </x:row>
    <x:row r="9">
      <x:c r="A9" s="258" t="str">
        <x:v>Wholesale</x:v>
      </x:c>
      <x:c r="B9" s="246" t="n">
        <x:v>9.507192</x:v>
      </x:c>
      <x:c r="C9" s="246" t="n">
        <x:v>2.408983</x:v>
      </x:c>
      <x:c r="D9" s="240" t="n">
        <x:v>0.25339</x:v>
      </x:c>
      <x:c r="E9" s="240" t="n">
        <x:v>0.09420999999999999</x:v>
      </x:c>
      <x:c r="F9" s="240" t="n">
        <x:v>0.006</x:v>
      </x:c>
      <x:c r="G9" s="258" t="n">
        <x:v>25</x:v>
      </x:c>
      <x:c r="H9" s="227" t="str">
        <x:f>IF(D9&gt;='01_Assumptions'!$B$17,"SCALE / PROTECT","REVIEW TERMS")</x:f>
        <x:v>SCALE / PROTECT</x:v>
      </x:c>
      <x:c r="I9" s="227"/>
      <x:c r="J9" s="227"/>
      <x:c r="K9" s="227"/>
      <x:c r="L9" s="227"/>
      <x:c r="M9" s="227"/>
      <x:c r="N9" s="227"/>
      <x:c r="O9" s="227"/>
    </x:row>
    <x:row r="10">
      <x:c r="A10" s="227"/>
      <x:c r="B10" s="227"/>
      <x:c r="C10" s="227"/>
      <x:c r="D10" s="227"/>
      <x:c r="E10" s="227"/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7"/>
      <x:c r="B11" s="227"/>
      <x:c r="C11" s="227"/>
      <x:c r="D11" s="227"/>
      <x:c r="E11" s="227"/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 ht="20" customHeight="1">
      <x:c r="A12" s="226" t="str">
        <x:v>INTERACTIVE CHANNEL REVIEW — SUMIFS / SELECTOR</x:v>
      </x:c>
      <x:c r="B12" s="226"/>
      <x:c r="C12" s="226"/>
      <x:c r="D12" s="226"/>
      <x:c r="E12" s="226"/>
      <x:c r="F12" s="226"/>
      <x:c r="G12" s="226"/>
      <x:c r="H12" s="226"/>
      <x:c r="I12" s="226"/>
      <x:c r="J12" s="226"/>
      <x:c r="K12" s="227"/>
      <x:c r="L12" s="227"/>
      <x:c r="M12" s="227"/>
      <x:c r="N12" s="227"/>
      <x:c r="O12" s="227"/>
    </x:row>
    <x:row r="13">
      <x:c r="A13" s="229" t="str">
        <x:v>Selected Channel</x:v>
      </x:c>
      <x:c r="B13" s="258" t="str">
        <x:v>General Trade</x:v>
      </x:c>
      <x:c r="C13" s="227"/>
      <x:c r="D13" s="230" t="str">
        <x:v>Portfolio Metric</x:v>
      </x:c>
      <x:c r="E13" s="230" t="str">
        <x:v>Value</x:v>
      </x:c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9" t="str">
        <x:v>Revenue</x:v>
      </x:c>
      <x:c r="B14" s="270" t="n">
        <x:f>SUMIFS($B$5:$B$9,$A$5:$A$9,$B$13)</x:f>
        <x:v>30.648647</x:v>
      </x:c>
      <x:c r="C14" s="227"/>
      <x:c r="D14" s="227" t="str">
        <x:v>Canonical Revenue</x:v>
      </x:c>
      <x:c r="E14" s="262" t="n">
        <x:v>82.5138</x:v>
      </x:c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>
      <x:c r="A15" s="229" t="str">
        <x:v>Contribution</x:v>
      </x:c>
      <x:c r="B15" s="270" t="n">
        <x:f>SUMIFS($C$5:$C$9,$A$5:$A$9,$B$13)</x:f>
        <x:v>8.231199</x:v>
      </x:c>
      <x:c r="C15" s="227"/>
      <x:c r="D15" s="227" t="str">
        <x:v>Canonical Contribution</x:v>
      </x:c>
      <x:c r="E15" s="262" t="n">
        <x:v>24.2074</x:v>
      </x:c>
      <x:c r="F15" s="227"/>
      <x:c r="G15" s="227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29" t="str">
        <x:v>Contribution Margin</x:v>
      </x:c>
      <x:c r="B16" s="271" t="n">
        <x:f>IFERROR(B15/B14,0)</x:f>
        <x:v>0.26856647211865503</x:v>
      </x:c>
      <x:c r="C16" s="227"/>
      <x:c r="D16" s="227" t="str">
        <x:v>Canonical CM</x:v>
      </x:c>
      <x:c r="E16" s="272" t="n">
        <x:v>0.293373</x:v>
      </x:c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>
      <x:c r="A17" s="227"/>
      <x:c r="B17" s="227"/>
      <x:c r="C17" s="227"/>
      <x:c r="D17" s="227" t="str">
        <x:v>Channels below 25% hurdle</x:v>
      </x:c>
      <x:c r="E17" s="262" t="n">
        <x:v>3</x:v>
      </x:c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27"/>
      <x:c r="B18" s="227"/>
      <x:c r="C18" s="227"/>
      <x:c r="D18" s="227"/>
      <x:c r="E18" s="227"/>
      <x:c r="F18" s="227"/>
      <x:c r="G18" s="227"/>
      <x:c r="H18" s="227"/>
      <x:c r="I18" s="227"/>
      <x:c r="J18" s="227"/>
      <x:c r="K18" s="227"/>
      <x:c r="L18" s="227"/>
      <x:c r="M18" s="227"/>
      <x:c r="N18" s="227"/>
      <x:c r="O18" s="227"/>
    </x:row>
    <x:row r="19">
      <x:c r="A19" s="231" t="str">
        <x:v>Source: https://github.com/susayold/commercial-finance-profitability-analytics/blob/main/site/data/generated/page3-commercial.json
Decision logic: revenue growth is not automatically good; scale only when contribution and guardrails clear the hurdle.</x:v>
      </x:c>
      <x:c r="B19" s="231"/>
      <x:c r="C19" s="231"/>
      <x:c r="D19" s="231"/>
      <x:c r="E19" s="231"/>
      <x:c r="F19" s="231"/>
      <x:c r="G19" s="231"/>
      <x:c r="H19" s="231"/>
      <x:c r="I19" s="231"/>
      <x:c r="J19" s="231"/>
      <x:c r="K19" s="227"/>
      <x:c r="L19" s="227"/>
      <x:c r="M19" s="227"/>
      <x:c r="N19" s="227"/>
      <x:c r="O19" s="227"/>
    </x:row>
    <x:row r="20">
      <x:c r="A20" s="231"/>
      <x:c r="B20" s="231"/>
      <x:c r="C20" s="231"/>
      <x:c r="D20" s="231"/>
      <x:c r="E20" s="231"/>
      <x:c r="F20" s="231"/>
      <x:c r="G20" s="231"/>
      <x:c r="H20" s="231"/>
      <x:c r="I20" s="231"/>
      <x:c r="J20" s="231"/>
      <x:c r="K20" s="227"/>
      <x:c r="L20" s="227"/>
      <x:c r="M20" s="227"/>
      <x:c r="N20" s="227"/>
      <x:c r="O20" s="227"/>
    </x:row>
    <x:row r="21">
      <x:c r="A21" s="231"/>
      <x:c r="B21" s="231"/>
      <x:c r="C21" s="231"/>
      <x:c r="D21" s="231"/>
      <x:c r="E21" s="231"/>
      <x:c r="F21" s="231"/>
      <x:c r="G21" s="231"/>
      <x:c r="H21" s="231"/>
      <x:c r="I21" s="231"/>
      <x:c r="J21" s="231"/>
      <x:c r="K21" s="227"/>
      <x:c r="L21" s="227"/>
      <x:c r="M21" s="227"/>
      <x:c r="N21" s="227"/>
      <x:c r="O21" s="227"/>
    </x:row>
    <x:row r="22">
      <x:c r="A22" s="227"/>
      <x:c r="B22" s="227"/>
      <x:c r="C22" s="227"/>
      <x:c r="D22" s="227"/>
      <x:c r="E22" s="227"/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27"/>
      <x:c r="B23" s="227"/>
      <x:c r="C23" s="227"/>
      <x:c r="D23" s="227"/>
      <x:c r="E23" s="227"/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27"/>
      <x:c r="B24" s="227"/>
      <x:c r="C24" s="227"/>
      <x:c r="D24" s="227"/>
      <x:c r="E24" s="227"/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J1"/>
    <x:mergeCell ref="A2:J2"/>
    <x:mergeCell ref="A12:J12"/>
    <x:mergeCell ref="A19:J21"/>
  </x:mergeCells>
  <x:conditionalFormatting sqref="H5:H9">
    <x:cfRule type="expression" dxfId="4" priority="1">
      <x:formula>H5="REVIEW TERMS"</x:formula>
    </x:cfRule>
    <x:cfRule type="expression" dxfId="5" priority="2">
      <x:formula>H5="SCALE / PROTECT"</x:formula>
    </x:cfRule>
  </x:conditionalFormatting>
  <x:dataValidations count="1">
    <x:dataValidation type="list" sqref="B13">
      <x:formula1>"General Trade,Modern Trade,Marketplace,D2C,Wholesale"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226" t="str">
        <x:v>05 — Working Capital &amp; Cash Conversion</x:v>
      </x:c>
      <x:c r="B1" s="226"/>
      <x:c r="C1" s="226"/>
      <x:c r="D1" s="226"/>
      <x:c r="E1" s="226"/>
      <x:c r="F1" s="226"/>
      <x:c r="G1" s="226"/>
      <x:c r="H1" s="226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Driver-based working-capital formulas. The core Dec-2025 snapshot is separate from the Page 5 detailed-costing inventory universe.</x:v>
      </x:c>
      <x:c r="B2" s="228"/>
      <x:c r="C2" s="228"/>
      <x:c r="D2" s="228"/>
      <x:c r="E2" s="228"/>
      <x:c r="F2" s="228"/>
      <x:c r="G2" s="228"/>
      <x:c r="H2" s="228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Metric</x:v>
      </x:c>
      <x:c r="B4" s="230" t="str">
        <x:v>Core Dec-2025</x:v>
      </x:c>
      <x:c r="C4" s="230" t="str">
        <x:v>Unit</x:v>
      </x:c>
      <x:c r="D4" s="227"/>
      <x:c r="E4" s="227"/>
      <x:c r="F4" s="227"/>
      <x:c r="G4" s="227"/>
      <x:c r="H4" s="227"/>
      <x:c r="I4" s="227"/>
      <x:c r="J4" s="227"/>
      <x:c r="K4" s="227"/>
      <x:c r="L4" s="227"/>
      <x:c r="M4" s="227"/>
      <x:c r="N4" s="227"/>
      <x:c r="O4" s="227"/>
    </x:row>
    <x:row r="5">
      <x:c r="A5" s="227" t="str">
        <x:v>Accounts Receivable</x:v>
      </x:c>
      <x:c r="B5" s="258" t="n">
        <x:v>10.789</x:v>
      </x:c>
      <x:c r="C5" s="227" t="str">
        <x:v>VND bn</x:v>
      </x:c>
      <x:c r="D5" s="227"/>
      <x:c r="E5" s="227"/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27" t="str">
        <x:v>Inventory</x:v>
      </x:c>
      <x:c r="B6" s="258" t="n">
        <x:v>8.753</x:v>
      </x:c>
      <x:c r="C6" s="227" t="str">
        <x:v>VND bn</x:v>
      </x:c>
      <x:c r="D6" s="227"/>
      <x:c r="E6" s="227"/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27" t="str">
        <x:v>Accounts Payable</x:v>
      </x:c>
      <x:c r="B7" s="258" t="n">
        <x:v>6.205</x:v>
      </x:c>
      <x:c r="C7" s="227" t="str">
        <x:v>VND bn</x:v>
      </x:c>
      <x:c r="D7" s="227"/>
      <x:c r="E7" s="227"/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27" t="str">
        <x:v>Operating Working Capital</x:v>
      </x:c>
      <x:c r="B8" s="261" t="n">
        <x:f>B5+B6-B7</x:f>
        <x:v>13.337000000000002</x:v>
      </x:c>
      <x:c r="C8" s="227" t="str">
        <x:v>VND bn</x:v>
      </x:c>
      <x:c r="D8" s="227"/>
      <x:c r="E8" s="227"/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27" t="str">
        <x:v>DSO</x:v>
      </x:c>
      <x:c r="B9" s="258" t="n">
        <x:v>38</x:v>
      </x:c>
      <x:c r="C9" s="227" t="str">
        <x:v>days</x:v>
      </x:c>
      <x:c r="D9" s="227"/>
      <x:c r="E9" s="227"/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27" t="str">
        <x:v>DIO Proxy</x:v>
      </x:c>
      <x:c r="B10" s="258" t="n">
        <x:v>46</x:v>
      </x:c>
      <x:c r="C10" s="227" t="str">
        <x:v>days</x:v>
      </x:c>
      <x:c r="D10" s="227"/>
      <x:c r="E10" s="227"/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7"/>
      <x:c r="B11" s="227"/>
      <x:c r="C11" s="227"/>
      <x:c r="D11" s="227"/>
      <x:c r="E11" s="227"/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30" t="str">
        <x:v>Metric</x:v>
      </x:c>
      <x:c r="B12" s="230" t="str">
        <x:v>Value</x:v>
      </x:c>
      <x:c r="C12" s="230" t="str">
        <x:v>Formula</x:v>
      </x:c>
      <x:c r="D12" s="227"/>
      <x:c r="E12" s="227"/>
      <x:c r="F12" s="227"/>
      <x:c r="G12" s="227"/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27" t="str">
        <x:v>DPO</x:v>
      </x:c>
      <x:c r="B13" s="258" t="n">
        <x:v>30</x:v>
      </x:c>
      <x:c r="C13" s="227" t="str">
        <x:v>Accounts Payable / COGS × days</x:v>
      </x:c>
      <x:c r="D13" s="227"/>
      <x:c r="E13" s="227"/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 t="str">
        <x:v>CCC</x:v>
      </x:c>
      <x:c r="B14" s="261" t="n">
        <x:f>B9+B10-B13</x:f>
        <x:v>54</x:v>
      </x:c>
      <x:c r="C14" s="227" t="str">
        <x:v>DSO + DIO − DPO</x:v>
      </x:c>
      <x:c r="D14" s="227"/>
      <x:c r="E14" s="227"/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>
      <x:c r="A15" s="227"/>
      <x:c r="B15" s="227"/>
      <x:c r="C15" s="227"/>
      <x:c r="D15" s="227"/>
      <x:c r="E15" s="227"/>
      <x:c r="F15" s="227"/>
      <x:c r="G15" s="227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27"/>
      <x:c r="B16" s="227"/>
      <x:c r="C16" s="227"/>
      <x:c r="D16" s="227"/>
      <x:c r="E16" s="227"/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 ht="20" customHeight="1">
      <x:c r="A17" s="226" t="str">
        <x:v>SCENARIO WORKING-CAPITAL DAYS</x:v>
      </x:c>
      <x:c r="B17" s="226"/>
      <x:c r="C17" s="226"/>
      <x:c r="D17" s="226"/>
      <x:c r="E17" s="226"/>
      <x:c r="F17" s="226"/>
      <x:c r="G17" s="226"/>
      <x:c r="H17" s="226"/>
      <x:c r="I17" s="227"/>
      <x:c r="J17" s="227"/>
      <x:c r="K17" s="227"/>
      <x:c r="L17" s="227"/>
      <x:c r="M17" s="227"/>
      <x:c r="N17" s="227"/>
      <x:c r="O17" s="227"/>
    </x:row>
    <x:row r="18">
      <x:c r="A18" s="230" t="str">
        <x:v>Scenario</x:v>
      </x:c>
      <x:c r="B18" s="230" t="str">
        <x:v>DSO</x:v>
      </x:c>
      <x:c r="C18" s="230" t="str">
        <x:v>DIO</x:v>
      </x:c>
      <x:c r="D18" s="230" t="str">
        <x:v>DPO</x:v>
      </x:c>
      <x:c r="E18" s="230" t="str">
        <x:v>CCC</x:v>
      </x:c>
      <x:c r="F18" s="227"/>
      <x:c r="G18" s="227"/>
      <x:c r="H18" s="227"/>
      <x:c r="I18" s="227"/>
      <x:c r="J18" s="227"/>
      <x:c r="K18" s="227"/>
      <x:c r="L18" s="227"/>
      <x:c r="M18" s="227"/>
      <x:c r="N18" s="227"/>
      <x:c r="O18" s="227"/>
    </x:row>
    <x:row r="19">
      <x:c r="A19" s="227" t="str">
        <x:v>Base</x:v>
      </x:c>
      <x:c r="B19" s="258" t="n">
        <x:v>42</x:v>
      </x:c>
      <x:c r="C19" s="258" t="n">
        <x:v>52</x:v>
      </x:c>
      <x:c r="D19" s="258" t="n">
        <x:v>40</x:v>
      </x:c>
      <x:c r="E19" s="261" t="n">
        <x:f>B19+C19-D19</x:f>
        <x:v>54</x:v>
      </x:c>
      <x:c r="F19" s="227"/>
      <x:c r="G19" s="227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27" t="str">
        <x:v>Upside</x:v>
      </x:c>
      <x:c r="B20" s="258" t="n">
        <x:v>38</x:v>
      </x:c>
      <x:c r="C20" s="258" t="n">
        <x:v>47</x:v>
      </x:c>
      <x:c r="D20" s="258" t="n">
        <x:v>37</x:v>
      </x:c>
      <x:c r="E20" s="261" t="n">
        <x:f>B20+C20-D20</x:f>
        <x:v>48</x:v>
      </x:c>
      <x:c r="F20" s="227"/>
      <x:c r="G20" s="227"/>
      <x:c r="H20" s="227"/>
      <x:c r="I20" s="227"/>
      <x:c r="J20" s="227"/>
      <x:c r="K20" s="227"/>
      <x:c r="L20" s="227"/>
      <x:c r="M20" s="227"/>
      <x:c r="N20" s="227"/>
      <x:c r="O20" s="227"/>
    </x:row>
    <x:row r="21">
      <x:c r="A21" s="227" t="str">
        <x:v>Downside</x:v>
      </x:c>
      <x:c r="B21" s="258" t="n">
        <x:v>52</x:v>
      </x:c>
      <x:c r="C21" s="258" t="n">
        <x:v>60</x:v>
      </x:c>
      <x:c r="D21" s="258" t="n">
        <x:v>44</x:v>
      </x:c>
      <x:c r="E21" s="261" t="n">
        <x:f>B21+C21-D21</x:f>
        <x:v>68</x:v>
      </x:c>
      <x:c r="F21" s="227"/>
      <x:c r="G21" s="227"/>
      <x:c r="H21" s="227"/>
      <x:c r="I21" s="227"/>
      <x:c r="J21" s="227"/>
      <x:c r="K21" s="227"/>
      <x:c r="L21" s="227"/>
      <x:c r="M21" s="227"/>
      <x:c r="N21" s="227"/>
      <x:c r="O21" s="227"/>
    </x:row>
    <x:row r="22">
      <x:c r="A22" s="227"/>
      <x:c r="B22" s="227"/>
      <x:c r="C22" s="227"/>
      <x:c r="D22" s="227"/>
      <x:c r="E22" s="227"/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31" t="str">
        <x:v>Core management view: OWC = AR + Inventory − AP; CCC = DSO + DIO − DPO. A day metric is a diagnostic proxy and should not be converted to cash without an approved denominator.</x:v>
      </x:c>
      <x:c r="B23" s="231"/>
      <x:c r="C23" s="231"/>
      <x:c r="D23" s="231"/>
      <x:c r="E23" s="231"/>
      <x:c r="F23" s="231"/>
      <x:c r="G23" s="231"/>
      <x:c r="H23" s="231"/>
      <x:c r="I23" s="227"/>
      <x:c r="J23" s="227"/>
      <x:c r="K23" s="227"/>
      <x:c r="L23" s="227"/>
      <x:c r="M23" s="227"/>
      <x:c r="N23" s="227"/>
      <x:c r="O23" s="227"/>
    </x:row>
    <x:row r="24">
      <x:c r="A24" s="231"/>
      <x:c r="B24" s="231"/>
      <x:c r="C24" s="231"/>
      <x:c r="D24" s="231"/>
      <x:c r="E24" s="231"/>
      <x:c r="F24" s="231"/>
      <x:c r="G24" s="231"/>
      <x:c r="H24" s="231"/>
      <x:c r="I24" s="227"/>
      <x:c r="J24" s="227"/>
      <x:c r="K24" s="227"/>
      <x:c r="L24" s="227"/>
      <x:c r="M24" s="227"/>
      <x:c r="N24" s="227"/>
      <x:c r="O24" s="227"/>
    </x:row>
    <x:row r="25">
      <x:c r="A25" s="231"/>
      <x:c r="B25" s="231"/>
      <x:c r="C25" s="231"/>
      <x:c r="D25" s="231"/>
      <x:c r="E25" s="231"/>
      <x:c r="F25" s="231"/>
      <x:c r="G25" s="231"/>
      <x:c r="H25" s="231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H1"/>
    <x:mergeCell ref="A2:H2"/>
    <x:mergeCell ref="A17:H17"/>
    <x:mergeCell ref="A23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6" hidden="0" customWidth="1"/>
  </x:cols>
  <x:sheetData>
    <x:row r="1" ht="28" customHeight="1">
      <x:c r="A1" s="226" t="str">
        <x:v>06 — Scenario Planning &amp; What-If Review</x:v>
      </x:c>
      <x:c r="B1" s="226"/>
      <x:c r="C1" s="226"/>
      <x:c r="D1" s="226"/>
      <x:c r="E1" s="226"/>
      <x:c r="F1" s="226"/>
      <x:c r="G1" s="226"/>
      <x:c r="H1" s="226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Scenario selector demonstrates data validation + INDEX/MATCH + linked outputs. Blue selector = user input.</x:v>
      </x:c>
      <x:c r="B2" s="228"/>
      <x:c r="C2" s="228"/>
      <x:c r="D2" s="228"/>
      <x:c r="E2" s="228"/>
      <x:c r="F2" s="228"/>
      <x:c r="G2" s="228"/>
      <x:c r="H2" s="228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29" t="str">
        <x:v>Scenario Selector</x:v>
      </x:c>
      <x:c r="B4" s="258" t="str">
        <x:v>Base</x:v>
      </x:c>
      <x:c r="C4" s="227"/>
      <x:c r="D4" s="227"/>
      <x:c r="E4" s="227"/>
      <x:c r="F4" s="227"/>
      <x:c r="G4" s="227"/>
      <x:c r="H4" s="227"/>
      <x:c r="I4" s="227"/>
      <x:c r="J4" s="227"/>
      <x:c r="K4" s="227"/>
      <x:c r="L4" s="227"/>
      <x:c r="M4" s="227"/>
      <x:c r="N4" s="227"/>
      <x:c r="O4" s="227"/>
    </x:row>
    <x:row r="5">
      <x:c r="A5" s="227"/>
      <x:c r="B5" s="227"/>
      <x:c r="C5" s="227"/>
      <x:c r="D5" s="227"/>
      <x:c r="E5" s="227"/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30" t="str">
        <x:v>Metric</x:v>
      </x:c>
      <x:c r="B6" s="230" t="str">
        <x:v>Base</x:v>
      </x:c>
      <x:c r="C6" s="230" t="str">
        <x:v>Upside</x:v>
      </x:c>
      <x:c r="D6" s="230" t="str">
        <x:v>Downside</x:v>
      </x:c>
      <x:c r="E6" s="227"/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27" t="str">
        <x:v>Net Revenue</x:v>
      </x:c>
      <x:c r="B7" s="259" t="n">
        <x:v>82.5138</x:v>
      </x:c>
      <x:c r="C7" s="259" t="n">
        <x:v>85.7182</x:v>
      </x:c>
      <x:c r="D7" s="259" t="n">
        <x:v>76.9061</x:v>
      </x:c>
      <x:c r="E7" s="227"/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27" t="str">
        <x:v>Gross Profit</x:v>
      </x:c>
      <x:c r="B8" s="259" t="n">
        <x:v>26.915</x:v>
      </x:c>
      <x:c r="C8" s="259" t="n">
        <x:v>31.1886</x:v>
      </x:c>
      <x:c r="D8" s="259" t="n">
        <x:v>18.6342</x:v>
      </x:c>
      <x:c r="E8" s="227"/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27" t="str">
        <x:v>Controllable OPEX</x:v>
      </x:c>
      <x:c r="B9" s="259" t="n">
        <x:v>14.0194</x:v>
      </x:c>
      <x:c r="C9" s="259" t="n">
        <x:v>13.739</x:v>
      </x:c>
      <x:c r="D9" s="259" t="n">
        <x:v>15.1409</x:v>
      </x:c>
      <x:c r="E9" s="227"/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27" t="str">
        <x:v>EBITDA Proxy</x:v>
      </x:c>
      <x:c r="B10" s="259" t="n">
        <x:v>12.8956</x:v>
      </x:c>
      <x:c r="C10" s="259" t="n">
        <x:v>17.4496</x:v>
      </x:c>
      <x:c r="D10" s="259" t="n">
        <x:v>3.4933</x:v>
      </x:c>
      <x:c r="E10" s="227"/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7" t="str">
        <x:v>Contribution</x:v>
      </x:c>
      <x:c r="B11" s="259" t="n">
        <x:v>24.2074</x:v>
      </x:c>
      <x:c r="C11" s="259" t="n">
        <x:v>28.481</x:v>
      </x:c>
      <x:c r="D11" s="259" t="n">
        <x:v>15.8724</x:v>
      </x:c>
      <x:c r="E11" s="227"/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27" t="str">
        <x:v>DSO</x:v>
      </x:c>
      <x:c r="B12" s="259" t="n">
        <x:v>42</x:v>
      </x:c>
      <x:c r="C12" s="259" t="n">
        <x:v>38</x:v>
      </x:c>
      <x:c r="D12" s="259" t="n">
        <x:v>52</x:v>
      </x:c>
      <x:c r="E12" s="227"/>
      <x:c r="F12" s="227"/>
      <x:c r="G12" s="227"/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27" t="str">
        <x:v>DIO</x:v>
      </x:c>
      <x:c r="B13" s="259" t="n">
        <x:v>52</x:v>
      </x:c>
      <x:c r="C13" s="259" t="n">
        <x:v>47</x:v>
      </x:c>
      <x:c r="D13" s="259" t="n">
        <x:v>60</x:v>
      </x:c>
      <x:c r="E13" s="227"/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 t="str">
        <x:v>DPO</x:v>
      </x:c>
      <x:c r="B14" s="259" t="n">
        <x:v>40</x:v>
      </x:c>
      <x:c r="C14" s="259" t="n">
        <x:v>37</x:v>
      </x:c>
      <x:c r="D14" s="259" t="n">
        <x:v>44</x:v>
      </x:c>
      <x:c r="E14" s="227"/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>
      <x:c r="A15" s="227" t="str">
        <x:v>CCC</x:v>
      </x:c>
      <x:c r="B15" s="259" t="n">
        <x:v>54</x:v>
      </x:c>
      <x:c r="C15" s="259" t="n">
        <x:v>48</x:v>
      </x:c>
      <x:c r="D15" s="259" t="n">
        <x:v>68</x:v>
      </x:c>
      <x:c r="E15" s="227"/>
      <x:c r="F15" s="227"/>
      <x:c r="G15" s="227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27"/>
      <x:c r="B16" s="227"/>
      <x:c r="C16" s="227"/>
      <x:c r="D16" s="227"/>
      <x:c r="E16" s="227"/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 ht="20" customHeight="1">
      <x:c r="A17" s="226" t="str">
        <x:v>SELECTED SCENARIO OUTPUT</x:v>
      </x:c>
      <x:c r="B17" s="226"/>
      <x:c r="C17" s="226"/>
      <x:c r="D17" s="226"/>
      <x:c r="E17" s="226"/>
      <x:c r="F17" s="226"/>
      <x:c r="G17" s="226"/>
      <x:c r="H17" s="226"/>
      <x:c r="I17" s="227"/>
      <x:c r="J17" s="227"/>
      <x:c r="K17" s="227"/>
      <x:c r="L17" s="227"/>
      <x:c r="M17" s="227"/>
      <x:c r="N17" s="227"/>
      <x:c r="O17" s="227"/>
    </x:row>
    <x:row r="18">
      <x:c r="A18" s="230" t="str">
        <x:v>Metric</x:v>
      </x:c>
      <x:c r="B18" s="230" t="str">
        <x:v>Selected Output</x:v>
      </x:c>
      <x:c r="C18" s="227"/>
      <x:c r="D18" s="231" t="str">
        <x:v>Decision principle:
• Base is the planning anchor.
• Upside is promoted only when commercial and cash guardrails clear.
• Downside is a contingency response, not a blended average.
• Long-range cash remains withheld until opening state is reconciled.</x:v>
      </x:c>
      <x:c r="E18" s="231"/>
      <x:c r="F18" s="231"/>
      <x:c r="G18" s="231"/>
      <x:c r="H18" s="231"/>
      <x:c r="I18" s="227"/>
      <x:c r="J18" s="227"/>
      <x:c r="K18" s="227"/>
      <x:c r="L18" s="227"/>
      <x:c r="M18" s="227"/>
      <x:c r="N18" s="227"/>
      <x:c r="O18" s="227"/>
    </x:row>
    <x:row r="19">
      <x:c r="A19" s="227" t="str">
        <x:v>Net Revenue</x:v>
      </x:c>
      <x:c r="B19" s="276" t="n">
        <x:f>INDEX($B$7:$D$7,1,MATCH($B$4,$B$6:$D$6,0))</x:f>
        <x:v>82.5138</x:v>
      </x:c>
      <x:c r="C19" s="227"/>
      <x:c r="D19" s="231"/>
      <x:c r="E19" s="231"/>
      <x:c r="F19" s="231"/>
      <x:c r="G19" s="231"/>
      <x:c r="H19" s="231"/>
      <x:c r="I19" s="227"/>
      <x:c r="J19" s="227"/>
      <x:c r="K19" s="227"/>
      <x:c r="L19" s="227"/>
      <x:c r="M19" s="227"/>
      <x:c r="N19" s="227"/>
      <x:c r="O19" s="227"/>
    </x:row>
    <x:row r="20">
      <x:c r="A20" s="227" t="str">
        <x:v>Gross Profit</x:v>
      </x:c>
      <x:c r="B20" s="276" t="n">
        <x:f>INDEX($B$8:$D$8,1,MATCH($B$4,$B$6:$D$6,0))</x:f>
        <x:v>26.915</x:v>
      </x:c>
      <x:c r="C20" s="227"/>
      <x:c r="D20" s="231"/>
      <x:c r="E20" s="231"/>
      <x:c r="F20" s="231"/>
      <x:c r="G20" s="231"/>
      <x:c r="H20" s="231"/>
      <x:c r="I20" s="227"/>
      <x:c r="J20" s="227"/>
      <x:c r="K20" s="227"/>
      <x:c r="L20" s="227"/>
      <x:c r="M20" s="227"/>
      <x:c r="N20" s="227"/>
      <x:c r="O20" s="227"/>
    </x:row>
    <x:row r="21">
      <x:c r="A21" s="227" t="str">
        <x:v>Gross Margin</x:v>
      </x:c>
      <x:c r="B21" s="271" t="n">
        <x:f>B20/B19</x:f>
        <x:v>0.32618786190915944</x:v>
      </x:c>
      <x:c r="C21" s="227"/>
      <x:c r="D21" s="231"/>
      <x:c r="E21" s="231"/>
      <x:c r="F21" s="231"/>
      <x:c r="G21" s="231"/>
      <x:c r="H21" s="231"/>
      <x:c r="I21" s="227"/>
      <x:c r="J21" s="227"/>
      <x:c r="K21" s="227"/>
      <x:c r="L21" s="227"/>
      <x:c r="M21" s="227"/>
      <x:c r="N21" s="227"/>
      <x:c r="O21" s="227"/>
    </x:row>
    <x:row r="22">
      <x:c r="A22" s="227" t="str">
        <x:v>OPEX</x:v>
      </x:c>
      <x:c r="B22" s="276" t="n">
        <x:f>INDEX($B$9:$D$9,1,MATCH($B$4,$B$6:$D$6,0))</x:f>
        <x:v>14.0194</x:v>
      </x:c>
      <x:c r="C22" s="227"/>
      <x:c r="D22" s="231"/>
      <x:c r="E22" s="231"/>
      <x:c r="F22" s="231"/>
      <x:c r="G22" s="231"/>
      <x:c r="H22" s="231"/>
      <x:c r="I22" s="227"/>
      <x:c r="J22" s="227"/>
      <x:c r="K22" s="227"/>
      <x:c r="L22" s="227"/>
      <x:c r="M22" s="227"/>
      <x:c r="N22" s="227"/>
      <x:c r="O22" s="227"/>
    </x:row>
    <x:row r="23">
      <x:c r="A23" s="227" t="str">
        <x:v>EBITDA Proxy</x:v>
      </x:c>
      <x:c r="B23" s="276" t="n">
        <x:f>INDEX($B$10:$D$10,1,MATCH($B$4,$B$6:$D$6,0))</x:f>
        <x:v>12.8956</x:v>
      </x:c>
      <x:c r="C23" s="227"/>
      <x:c r="D23" s="231"/>
      <x:c r="E23" s="231"/>
      <x:c r="F23" s="231"/>
      <x:c r="G23" s="231"/>
      <x:c r="H23" s="231"/>
      <x:c r="I23" s="227"/>
      <x:c r="J23" s="227"/>
      <x:c r="K23" s="227"/>
      <x:c r="L23" s="227"/>
      <x:c r="M23" s="227"/>
      <x:c r="N23" s="227"/>
      <x:c r="O23" s="227"/>
    </x:row>
    <x:row r="24">
      <x:c r="A24" s="227" t="str">
        <x:v>EBITDA Margin</x:v>
      </x:c>
      <x:c r="B24" s="271" t="n">
        <x:f>B23/B19</x:f>
        <x:v>0.15628416095247097</x:v>
      </x:c>
      <x:c r="C24" s="227"/>
      <x:c r="D24" s="227"/>
      <x:c r="E24" s="227"/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>
      <x:c r="A25" s="227" t="str">
        <x:v>Contribution</x:v>
      </x:c>
      <x:c r="B25" s="276" t="n">
        <x:f>INDEX($B$11:$D$11,1,MATCH($B$4,$B$6:$D$6,0))</x:f>
        <x:v>24.2074</x:v>
      </x:c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 t="str">
        <x:v>Contribution Margin</x:v>
      </x:c>
      <x:c r="B26" s="271" t="n">
        <x:f>B25/B19</x:f>
        <x:v>0.2933739568411587</x:v>
      </x:c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 t="str">
        <x:v>CCC</x:v>
      </x:c>
      <x:c r="B27" s="277" t="n">
        <x:f>INDEX($B$15:$D$15,1,MATCH($B$4,$B$6:$D$6,0))</x:f>
        <x:v>54</x:v>
      </x:c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H1"/>
    <x:mergeCell ref="A2:H2"/>
    <x:mergeCell ref="A17:H17"/>
    <x:mergeCell ref="D18:H23"/>
  </x:mergeCells>
  <x:dataValidations count="1">
    <x:dataValidation type="list" sqref="B4">
      <x:formula1>"Base,Upside,Downside"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15" hidden="0" customWidth="1"/>
    <x:col min="4" max="4" width="14" hidden="0" customWidth="1"/>
    <x:col min="5" max="5" width="14" hidden="0" customWidth="1"/>
    <x:col min="6" max="6" width="16" hidden="0" customWidth="1"/>
    <x:col min="7" max="7" width="34" hidden="0" customWidth="1"/>
  </x:cols>
  <x:sheetData>
    <x:row r="1" ht="28" customHeight="1">
      <x:c r="A1" s="226" t="str">
        <x:v>07 — Forecast Accuracy &amp; Model Benchmark</x:v>
      </x:c>
      <x:c r="B1" s="226"/>
      <x:c r="C1" s="226"/>
      <x:c r="D1" s="226"/>
      <x:c r="E1" s="226"/>
      <x:c r="F1" s="226"/>
      <x:c r="G1" s="226"/>
      <x:c r="H1" s="227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Leakage-safe rolling-origin out-of-sample backtest on simulated historical operating data. Not live company forecast performance.</x:v>
      </x:c>
      <x:c r="B2" s="228"/>
      <x:c r="C2" s="228"/>
      <x:c r="D2" s="228"/>
      <x:c r="E2" s="228"/>
      <x:c r="F2" s="228"/>
      <x:c r="G2" s="228"/>
      <x:c r="H2" s="227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Horizon</x:v>
      </x:c>
      <x:c r="B4" s="230" t="str">
        <x:v>Model</x:v>
      </x:c>
      <x:c r="C4" s="230" t="str">
        <x:v>Eligible OOS</x:v>
      </x:c>
      <x:c r="D4" s="230" t="str">
        <x:v>Bias %</x:v>
      </x:c>
      <x:c r="E4" s="230" t="str">
        <x:v>WAPE %</x:v>
      </x:c>
      <x:c r="F4" s="230" t="str">
        <x:v>MAE (VND m)</x:v>
      </x:c>
      <x:c r="G4" s="230" t="str">
        <x:v>Decision</x:v>
      </x:c>
      <x:c r="H4" s="230" t="str">
        <x:v>Model</x:v>
      </x:c>
      <x:c r="I4" s="230" t="str">
        <x:v>1M</x:v>
      </x:c>
      <x:c r="J4" s="230" t="str">
        <x:v>3M</x:v>
      </x:c>
      <x:c r="K4" s="230" t="str">
        <x:v>6M</x:v>
      </x:c>
      <x:c r="L4" s="227"/>
      <x:c r="M4" s="227"/>
      <x:c r="N4" s="227"/>
      <x:c r="O4" s="227"/>
    </x:row>
    <x:row r="5">
      <x:c r="A5" s="258" t="str">
        <x:v>1M</x:v>
      </x:c>
      <x:c r="B5" s="258" t="str">
        <x:v>SEASONAL_NAIVE_12</x:v>
      </x:c>
      <x:c r="C5" s="258" t="n">
        <x:v>24</x:v>
      </x:c>
      <x:c r="D5" s="280" t="n">
        <x:v>0.00251</x:v>
      </x:c>
      <x:c r="E5" s="280" t="n">
        <x:v>0.011734</x:v>
      </x:c>
      <x:c r="F5" s="281" t="n">
        <x:v>12.322022</x:v>
      </x:c>
      <x:c r="G5" s="261" t="str">
        <x:f>IF(B5="SEASONAL_NAIVE_12","PRIMARY / KEEP SIMPLE","CHALLENGER")</x:f>
        <x:v>PRIMARY / KEEP SIMPLE</x:v>
      </x:c>
      <x:c r="H5" s="227" t="str">
        <x:v>SEASONAL_NAIVE_12</x:v>
      </x:c>
      <x:c r="I5" s="298" t="n">
        <x:v>1.1734</x:v>
      </x:c>
      <x:c r="J5" s="298" t="n">
        <x:v>1.1554</x:v>
      </x:c>
      <x:c r="K5" s="298" t="n">
        <x:v>1.1782</x:v>
      </x:c>
      <x:c r="L5" s="227"/>
      <x:c r="M5" s="227"/>
      <x:c r="N5" s="227"/>
      <x:c r="O5" s="227"/>
    </x:row>
    <x:row r="6">
      <x:c r="A6" s="258" t="str">
        <x:v>1M</x:v>
      </x:c>
      <x:c r="B6" s="258" t="str">
        <x:v>ENSEMBLE_50_50</x:v>
      </x:c>
      <x:c r="C6" s="258" t="n">
        <x:v>24</x:v>
      </x:c>
      <x:c r="D6" s="280" t="n">
        <x:v>0.001059</x:v>
      </x:c>
      <x:c r="E6" s="280" t="n">
        <x:v>0.030825</x:v>
      </x:c>
      <x:c r="F6" s="281" t="n">
        <x:v>32.361013</x:v>
      </x:c>
      <x:c r="G6" s="261" t="str">
        <x:f>IF(B6="SEASONAL_NAIVE_12","PRIMARY / KEEP SIMPLE","CHALLENGER")</x:f>
        <x:v>CHALLENGER</x:v>
      </x:c>
      <x:c r="H6" s="227" t="str">
        <x:v>ENSEMBLE_50_50</x:v>
      </x:c>
      <x:c r="I6" s="298" t="n">
        <x:v>3.0825</x:v>
      </x:c>
      <x:c r="J6" s="298" t="n">
        <x:v>3.0924</x:v>
      </x:c>
      <x:c r="K6" s="298" t="n">
        <x:v>3.3362</x:v>
      </x:c>
      <x:c r="L6" s="227"/>
      <x:c r="M6" s="227"/>
      <x:c r="N6" s="227"/>
      <x:c r="O6" s="227"/>
    </x:row>
    <x:row r="7">
      <x:c r="A7" s="258" t="str">
        <x:v>1M</x:v>
      </x:c>
      <x:c r="B7" s="258" t="str">
        <x:v>LINEAR_TREND_12</x:v>
      </x:c>
      <x:c r="C7" s="258" t="n">
        <x:v>24</x:v>
      </x:c>
      <x:c r="D7" s="280" t="n">
        <x:v>-0.000391</x:v>
      </x:c>
      <x:c r="E7" s="280" t="n">
        <x:v>0.058437</x:v>
      </x:c>
      <x:c r="F7" s="281" t="n">
        <x:v>61.34821</x:v>
      </x:c>
      <x:c r="G7" s="261" t="str">
        <x:f>IF(B7="SEASONAL_NAIVE_12","PRIMARY / KEEP SIMPLE","CHALLENGER")</x:f>
        <x:v>CHALLENGER</x:v>
      </x:c>
      <x:c r="H7" s="227" t="str">
        <x:v>LINEAR_TREND_12</x:v>
      </x:c>
      <x:c r="I7" s="298" t="n">
        <x:v>5.8437</x:v>
      </x:c>
      <x:c r="J7" s="298" t="n">
        <x:v>5.9238</x:v>
      </x:c>
      <x:c r="K7" s="298" t="n">
        <x:v>6.8701</x:v>
      </x:c>
      <x:c r="L7" s="227"/>
      <x:c r="M7" s="227"/>
      <x:c r="N7" s="227"/>
      <x:c r="O7" s="227"/>
    </x:row>
    <x:row r="8">
      <x:c r="A8" s="258" t="str">
        <x:v>3M</x:v>
      </x:c>
      <x:c r="B8" s="258" t="str">
        <x:v>SEASONAL_NAIVE_12</x:v>
      </x:c>
      <x:c r="C8" s="258" t="n">
        <x:v>22</x:v>
      </x:c>
      <x:c r="D8" s="280" t="n">
        <x:v>0.001558</x:v>
      </x:c>
      <x:c r="E8" s="280" t="n">
        <x:v>0.011554</x:v>
      </x:c>
      <x:c r="F8" s="281" t="n">
        <x:v>12.163004</x:v>
      </x:c>
      <x:c r="G8" s="261" t="str">
        <x:f>IF(B8="SEASONAL_NAIVE_12","PRIMARY / KEEP SIMPLE","CHALLENGER")</x:f>
        <x:v>PRIMARY / KEEP SIMPLE</x:v>
      </x:c>
      <x:c r="H8" s="227"/>
      <x:c r="I8" s="227"/>
      <x:c r="J8" s="227"/>
      <x:c r="K8" s="227"/>
      <x:c r="L8" s="227"/>
      <x:c r="M8" s="227"/>
      <x:c r="N8" s="227"/>
      <x:c r="O8" s="227"/>
    </x:row>
    <x:row r="9">
      <x:c r="A9" s="258" t="str">
        <x:v>3M</x:v>
      </x:c>
      <x:c r="B9" s="258" t="str">
        <x:v>ENSEMBLE_50_50</x:v>
      </x:c>
      <x:c r="C9" s="258" t="n">
        <x:v>22</x:v>
      </x:c>
      <x:c r="D9" s="280" t="n">
        <x:v>0.000164</x:v>
      </x:c>
      <x:c r="E9" s="280" t="n">
        <x:v>0.030924</x:v>
      </x:c>
      <x:c r="F9" s="281" t="n">
        <x:v>32.547582</x:v>
      </x:c>
      <x:c r="G9" s="261" t="str">
        <x:f>IF(B9="SEASONAL_NAIVE_12","PRIMARY / KEEP SIMPLE","CHALLENGER")</x:f>
        <x:v>CHALLENGER</x:v>
      </x:c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58" t="str">
        <x:v>3M</x:v>
      </x:c>
      <x:c r="B10" s="258" t="str">
        <x:v>LINEAR_TREND_12</x:v>
      </x:c>
      <x:c r="C10" s="258" t="n">
        <x:v>22</x:v>
      </x:c>
      <x:c r="D10" s="280" t="n">
        <x:v>-0.001231</x:v>
      </x:c>
      <x:c r="E10" s="280" t="n">
        <x:v>0.059238</x:v>
      </x:c>
      <x:c r="F10" s="281" t="n">
        <x:v>62.362793</x:v>
      </x:c>
      <x:c r="G10" s="261" t="str">
        <x:f>IF(B10="SEASONAL_NAIVE_12","PRIMARY / KEEP SIMPLE","CHALLENGER")</x:f>
        <x:v>CHALLENGER</x:v>
      </x:c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58" t="str">
        <x:v>6M</x:v>
      </x:c>
      <x:c r="B11" s="258" t="str">
        <x:v>SEASONAL_NAIVE_12</x:v>
      </x:c>
      <x:c r="C11" s="258" t="n">
        <x:v>19</x:v>
      </x:c>
      <x:c r="D11" s="280" t="n">
        <x:v>0.0011250000000000001</x:v>
      </x:c>
      <x:c r="E11" s="280" t="n">
        <x:v>0.011781999999999999</x:v>
      </x:c>
      <x:c r="F11" s="281" t="n">
        <x:v>12.42818</x:v>
      </x:c>
      <x:c r="G11" s="261" t="str">
        <x:f>IF(B11="SEASONAL_NAIVE_12","PRIMARY / KEEP SIMPLE","CHALLENGER")</x:f>
        <x:v>PRIMARY / KEEP SIMPLE</x:v>
      </x:c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58" t="str">
        <x:v>6M</x:v>
      </x:c>
      <x:c r="B12" s="258" t="str">
        <x:v>ENSEMBLE_50_50</x:v>
      </x:c>
      <x:c r="C12" s="258" t="n">
        <x:v>19</x:v>
      </x:c>
      <x:c r="D12" s="280" t="n">
        <x:v>0.002815</x:v>
      </x:c>
      <x:c r="E12" s="280" t="n">
        <x:v>0.033361999999999996</x:v>
      </x:c>
      <x:c r="F12" s="281" t="n">
        <x:v>35.160872</x:v>
      </x:c>
      <x:c r="G12" s="261" t="str">
        <x:f>IF(B12="SEASONAL_NAIVE_12","PRIMARY / KEEP SIMPLE","CHALLENGER")</x:f>
        <x:v>CHALLENGER</x:v>
      </x:c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58" t="str">
        <x:v>6M</x:v>
      </x:c>
      <x:c r="B13" s="258" t="str">
        <x:v>LINEAR_TREND_12</x:v>
      </x:c>
      <x:c r="C13" s="258" t="n">
        <x:v>19</x:v>
      </x:c>
      <x:c r="D13" s="280" t="n">
        <x:v>0.004506</x:v>
      </x:c>
      <x:c r="E13" s="280" t="n">
        <x:v>0.068701</x:v>
      </x:c>
      <x:c r="F13" s="281" t="n">
        <x:v>72.41299</x:v>
      </x:c>
      <x:c r="G13" s="261" t="str">
        <x:f>IF(B13="SEASONAL_NAIVE_12","PRIMARY / KEEP SIMPLE","CHALLENGER")</x:f>
        <x:v>CHALLENGER</x:v>
      </x:c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/>
      <x:c r="B14" s="227"/>
      <x:c r="C14" s="227"/>
      <x:c r="D14" s="227"/>
      <x:c r="E14" s="227"/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 ht="20" customHeight="1">
      <x:c r="A15" s="226" t="str">
        <x:v>INTERVIEW TAKEAWAY</x:v>
      </x:c>
      <x:c r="B15" s="226"/>
      <x:c r="C15" s="226"/>
      <x:c r="D15" s="226"/>
      <x:c r="E15" s="226"/>
      <x:c r="F15" s="226"/>
      <x:c r="G15" s="226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31" t="str">
        <x:v>The seasonal-naive benchmark has the lowest WAPE at 1M, 3M and 6M. The lesson is model governance: do not promote a more complex model unless it adds forecast value. Evidence class = SIMULATED_HISTORICAL_BACKTEST; Live Gate A remains OPEN.</x:v>
      </x:c>
      <x:c r="B16" s="231"/>
      <x:c r="C16" s="231"/>
      <x:c r="D16" s="231"/>
      <x:c r="E16" s="231"/>
      <x:c r="F16" s="231"/>
      <x:c r="G16" s="231"/>
      <x:c r="H16" s="227"/>
      <x:c r="I16" s="227"/>
      <x:c r="J16" s="227"/>
      <x:c r="K16" s="227"/>
      <x:c r="L16" s="227"/>
      <x:c r="M16" s="227"/>
      <x:c r="N16" s="227"/>
      <x:c r="O16" s="227"/>
    </x:row>
    <x:row r="17">
      <x:c r="A17" s="231"/>
      <x:c r="B17" s="231"/>
      <x:c r="C17" s="231"/>
      <x:c r="D17" s="231"/>
      <x:c r="E17" s="231"/>
      <x:c r="F17" s="231"/>
      <x:c r="G17" s="231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31"/>
      <x:c r="B18" s="231"/>
      <x:c r="C18" s="231"/>
      <x:c r="D18" s="231"/>
      <x:c r="E18" s="231"/>
      <x:c r="F18" s="231"/>
      <x:c r="G18" s="231"/>
      <x:c r="H18" s="227"/>
      <x:c r="I18" s="227"/>
      <x:c r="J18" s="227"/>
      <x:c r="K18" s="227"/>
      <x:c r="L18" s="227"/>
      <x:c r="M18" s="227"/>
      <x:c r="N18" s="227"/>
      <x:c r="O18" s="227"/>
    </x:row>
    <x:row r="19">
      <x:c r="A19" s="231"/>
      <x:c r="B19" s="231"/>
      <x:c r="C19" s="231"/>
      <x:c r="D19" s="231"/>
      <x:c r="E19" s="231"/>
      <x:c r="F19" s="231"/>
      <x:c r="G19" s="231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27"/>
      <x:c r="B20" s="227"/>
      <x:c r="C20" s="227"/>
      <x:c r="D20" s="227"/>
      <x:c r="E20" s="227"/>
      <x:c r="F20" s="227"/>
      <x:c r="G20" s="227"/>
      <x:c r="H20" s="227"/>
      <x:c r="I20" s="227"/>
      <x:c r="J20" s="227"/>
      <x:c r="K20" s="227"/>
      <x:c r="L20" s="227"/>
      <x:c r="M20" s="227"/>
      <x:c r="N20" s="227"/>
      <x:c r="O20" s="227"/>
    </x:row>
    <x:row r="21">
      <x:c r="A21" s="227"/>
      <x:c r="B21" s="227"/>
      <x:c r="C21" s="227"/>
      <x:c r="D21" s="227"/>
      <x:c r="E21" s="227"/>
      <x:c r="F21" s="227"/>
      <x:c r="G21" s="227"/>
      <x:c r="H21" s="227"/>
      <x:c r="I21" s="227"/>
      <x:c r="J21" s="227"/>
      <x:c r="K21" s="227"/>
      <x:c r="L21" s="227"/>
      <x:c r="M21" s="227"/>
      <x:c r="N21" s="227"/>
      <x:c r="O21" s="227"/>
    </x:row>
    <x:row r="22">
      <x:c r="A22" s="227"/>
      <x:c r="B22" s="227"/>
      <x:c r="C22" s="227"/>
      <x:c r="D22" s="227"/>
      <x:c r="E22" s="227"/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27"/>
      <x:c r="B23" s="227"/>
      <x:c r="C23" s="227"/>
      <x:c r="D23" s="227"/>
      <x:c r="E23" s="227"/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27"/>
      <x:c r="B24" s="227"/>
      <x:c r="C24" s="227"/>
      <x:c r="D24" s="227"/>
      <x:c r="E24" s="227"/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G1"/>
    <x:mergeCell ref="A2:G2"/>
    <x:mergeCell ref="A15:G15"/>
    <x:mergeCell ref="A16:G19"/>
  </x:mergeCells>
  <x:conditionalFormatting sqref="G5:G13">
    <x:cfRule type="expression" dxfId="6" priority="1">
      <x:formula>G5="PRIMARY / KEEP SIMPLE"</x:formula>
    </x:cfRule>
  </x:conditionalFormatting>
  <x:pageMargins left="0.7" right="0.7" top="0.75" bottom="0.75" header="0.3" footer="0.3"/>
  <x:drawing xmlns:r="http://schemas.openxmlformats.org/officeDocument/2006/relationships" r:id="R68049243c9764517"/>
</x:worksheet>
</file>

<file path=xl/worksheets/sheet9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226" t="str">
        <x:v>08 — Standard Costing &amp; Inventory Review</x:v>
      </x:c>
      <x:c r="B1" s="226"/>
      <x:c r="C1" s="226"/>
      <x:c r="D1" s="226"/>
      <x:c r="E1" s="226"/>
      <x:c r="F1" s="226"/>
      <x:c r="G1" s="226"/>
      <x:c r="H1" s="226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Detailed 36-SKU costing rehearsal. This layer is NOT the same as core Page 2 COGS.</x:v>
      </x:c>
      <x:c r="B2" s="228"/>
      <x:c r="C2" s="228"/>
      <x:c r="D2" s="228"/>
      <x:c r="E2" s="228"/>
      <x:c r="F2" s="228"/>
      <x:c r="G2" s="228"/>
      <x:c r="H2" s="228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Cost Metric</x:v>
      </x:c>
      <x:c r="B4" s="230" t="str">
        <x:v>FY2025</x:v>
      </x:c>
      <x:c r="C4" s="230" t="str">
        <x:v>Unit / Note</x:v>
      </x:c>
      <x:c r="D4" s="227"/>
      <x:c r="E4" s="227"/>
      <x:c r="F4" s="227"/>
      <x:c r="G4" s="227"/>
      <x:c r="H4" s="227"/>
      <x:c r="I4" s="227"/>
      <x:c r="J4" s="227"/>
      <x:c r="K4" s="227"/>
      <x:c r="L4" s="227"/>
      <x:c r="M4" s="227"/>
      <x:c r="N4" s="227"/>
      <x:c r="O4" s="227"/>
    </x:row>
    <x:row r="5">
      <x:c r="A5" s="227" t="str">
        <x:v>Standard COGS</x:v>
      </x:c>
      <x:c r="B5" s="238" t="n">
        <x:v>6.358186533</x:v>
      </x:c>
      <x:c r="C5" s="227" t="str">
        <x:v>VND bn (approx. controlled source)</x:v>
      </x:c>
      <x:c r="D5" s="227"/>
      <x:c r="E5" s="227"/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27" t="str">
        <x:v>Modeled Actual COGS</x:v>
      </x:c>
      <x:c r="B6" s="238" t="n">
        <x:v>6.607556574</x:v>
      </x:c>
      <x:c r="C6" s="227" t="str">
        <x:v>VND bn</x:v>
      </x:c>
      <x:c r="D6" s="227"/>
      <x:c r="E6" s="227"/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27" t="str">
        <x:v>Total Variance</x:v>
      </x:c>
      <x:c r="B7" s="238" t="n">
        <x:v>0.249370041</x:v>
      </x:c>
      <x:c r="C7" s="227" t="str">
        <x:v>VND bn unfavorable</x:v>
      </x:c>
      <x:c r="D7" s="227"/>
      <x:c r="E7" s="227"/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27" t="str">
        <x:v>Material Price Share</x:v>
      </x:c>
      <x:c r="B8" s="240" t="n">
        <x:v>0.82</x:v>
      </x:c>
      <x:c r="C8" s="227" t="str">
        <x:v>% of total variance</x:v>
      </x:c>
      <x:c r="D8" s="227"/>
      <x:c r="E8" s="227"/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27" t="str">
        <x:v>Monthly Bridge Pass</x:v>
      </x:c>
      <x:c r="B9" s="258" t="n">
        <x:v>12</x:v>
      </x:c>
      <x:c r="C9" s="227" t="str">
        <x:v>12 / 12</x:v>
      </x:c>
      <x:c r="D9" s="227"/>
      <x:c r="E9" s="227"/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27" t="str">
        <x:v>Scope Marker</x:v>
      </x:c>
      <x:c r="B10" s="227" t="str">
        <x:v>NOT_CORE_COGS</x:v>
      </x:c>
      <x:c r="C10" s="227" t="str">
        <x:v>Standalone detailed costing</x:v>
      </x:c>
      <x:c r="D10" s="227"/>
      <x:c r="E10" s="227"/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7"/>
      <x:c r="B11" s="227"/>
      <x:c r="C11" s="227"/>
      <x:c r="D11" s="227"/>
      <x:c r="E11" s="227"/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30" t="str">
        <x:v>Inventory Metric</x:v>
      </x:c>
      <x:c r="B12" s="230" t="str">
        <x:v>Dec-2025</x:v>
      </x:c>
      <x:c r="C12" s="230" t="str">
        <x:v>Unit</x:v>
      </x:c>
      <x:c r="D12" s="230" t="str">
        <x:v>Control</x:v>
      </x:c>
      <x:c r="E12" s="230" t="str">
        <x:v>Meaning</x:v>
      </x:c>
      <x:c r="F12" s="227"/>
      <x:c r="G12" s="227"/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27" t="str">
        <x:v>Gross Inventory</x:v>
      </x:c>
      <x:c r="B13" s="246" t="n">
        <x:v>3.26638588</x:v>
      </x:c>
      <x:c r="C13" s="227" t="str">
        <x:v>VND bn</x:v>
      </x:c>
      <x:c r="D13" s="227" t="str">
        <x:v>Source-driven</x:v>
      </x:c>
      <x:c r="E13" s="227" t="str">
        <x:v>Detailed 36-SKU layer</x:v>
      </x:c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 t="str">
        <x:v>Reserve</x:v>
      </x:c>
      <x:c r="B14" s="246" t="n">
        <x:v>0.489957882</x:v>
      </x:c>
      <x:c r="C14" s="227" t="str">
        <x:v>VND bn</x:v>
      </x:c>
      <x:c r="D14" s="227" t="str">
        <x:v>Policy-derived</x:v>
      </x:c>
      <x:c r="E14" s="227" t="str">
        <x:v>Synthetic reserve policy</x:v>
      </x:c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>
      <x:c r="A15" s="227" t="str">
        <x:v>Net Inventory</x:v>
      </x:c>
      <x:c r="B15" s="246" t="n">
        <x:v>2.776427998</x:v>
      </x:c>
      <x:c r="C15" s="227" t="str">
        <x:v>VND bn</x:v>
      </x:c>
      <x:c r="D15" s="227" t="str">
        <x:v>Gross − reserve</x:v>
      </x:c>
      <x:c r="E15" s="227" t="str"/>
      <x:c r="F15" s="227"/>
      <x:c r="G15" s="227"/>
      <x:c r="H15" s="227"/>
      <x:c r="I15" s="227"/>
      <x:c r="J15" s="227"/>
      <x:c r="K15" s="227"/>
      <x:c r="L15" s="227"/>
      <x:c r="M15" s="227"/>
      <x:c r="N15" s="227"/>
      <x:c r="O15" s="227"/>
    </x:row>
    <x:row r="16">
      <x:c r="A16" s="227" t="str">
        <x:v>Slow-moving SKUs</x:v>
      </x:c>
      <x:c r="B16" s="258" t="str">
        <x:v>SKU018 / SKU034 / SKU035</x:v>
      </x:c>
      <x:c r="C16" s="227" t="str">
        <x:v>3 of 36</x:v>
      </x:c>
      <x:c r="D16" s="227" t="str">
        <x:v>Flagged</x:v>
      </x:c>
      <x:c r="E16" s="227" t="str">
        <x:v>Do not mix with Page 7 core 12-SKU inventory</x:v>
      </x:c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>
      <x:c r="A17" s="227"/>
      <x:c r="B17" s="227"/>
      <x:c r="C17" s="227"/>
      <x:c r="D17" s="227"/>
      <x:c r="E17" s="227"/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84" t="str">
        <x:v>Evidence boundary: no plant BOM, purchase-order price, production-hour or physical-count evidence is claimed. This sheet demonstrates standard-cost / variance methodology and inventory reserve controls.</x:v>
      </x:c>
      <x:c r="B18" s="284"/>
      <x:c r="C18" s="284"/>
      <x:c r="D18" s="284"/>
      <x:c r="E18" s="284"/>
      <x:c r="F18" s="284"/>
      <x:c r="G18" s="284"/>
      <x:c r="H18" s="284"/>
      <x:c r="I18" s="227"/>
      <x:c r="J18" s="227"/>
      <x:c r="K18" s="227"/>
      <x:c r="L18" s="227"/>
      <x:c r="M18" s="227"/>
      <x:c r="N18" s="227"/>
      <x:c r="O18" s="227"/>
    </x:row>
    <x:row r="19">
      <x:c r="A19" s="284"/>
      <x:c r="B19" s="284"/>
      <x:c r="C19" s="284"/>
      <x:c r="D19" s="284"/>
      <x:c r="E19" s="284"/>
      <x:c r="F19" s="284"/>
      <x:c r="G19" s="284"/>
      <x:c r="H19" s="284"/>
      <x:c r="I19" s="227"/>
      <x:c r="J19" s="227"/>
      <x:c r="K19" s="227"/>
      <x:c r="L19" s="227"/>
      <x:c r="M19" s="227"/>
      <x:c r="N19" s="227"/>
      <x:c r="O19" s="227"/>
    </x:row>
    <x:row r="20">
      <x:c r="A20" s="284"/>
      <x:c r="B20" s="284"/>
      <x:c r="C20" s="284"/>
      <x:c r="D20" s="284"/>
      <x:c r="E20" s="284"/>
      <x:c r="F20" s="284"/>
      <x:c r="G20" s="284"/>
      <x:c r="H20" s="284"/>
      <x:c r="I20" s="227"/>
      <x:c r="J20" s="227"/>
      <x:c r="K20" s="227"/>
      <x:c r="L20" s="227"/>
      <x:c r="M20" s="227"/>
      <x:c r="N20" s="227"/>
      <x:c r="O20" s="227"/>
    </x:row>
    <x:row r="21">
      <x:c r="A21" s="284"/>
      <x:c r="B21" s="284"/>
      <x:c r="C21" s="284"/>
      <x:c r="D21" s="284"/>
      <x:c r="E21" s="284"/>
      <x:c r="F21" s="284"/>
      <x:c r="G21" s="284"/>
      <x:c r="H21" s="284"/>
      <x:c r="I21" s="227"/>
      <x:c r="J21" s="227"/>
      <x:c r="K21" s="227"/>
      <x:c r="L21" s="227"/>
      <x:c r="M21" s="227"/>
      <x:c r="N21" s="227"/>
      <x:c r="O21" s="227"/>
    </x:row>
    <x:row r="22">
      <x:c r="A22" s="227"/>
      <x:c r="B22" s="227"/>
      <x:c r="C22" s="227"/>
      <x:c r="D22" s="227"/>
      <x:c r="E22" s="227"/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27"/>
      <x:c r="B23" s="227"/>
      <x:c r="C23" s="227"/>
      <x:c r="D23" s="227"/>
      <x:c r="E23" s="227"/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27"/>
      <x:c r="B24" s="227"/>
      <x:c r="C24" s="227"/>
      <x:c r="D24" s="227"/>
      <x:c r="E24" s="227"/>
      <x:c r="F24" s="227"/>
      <x:c r="G24" s="227"/>
      <x:c r="H24" s="227"/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H1"/>
    <x:mergeCell ref="A2:H2"/>
    <x:mergeCell ref="A18:H2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4" hidden="0" customWidth="1"/>
    <x:col min="4" max="4" width="16" hidden="0" customWidth="1"/>
    <x:col min="5" max="5" width="34" hidden="0" customWidth="1"/>
    <x:col min="6" max="6" width="18" hidden="0" customWidth="1"/>
    <x:col min="7" max="7" width="18" hidden="0" customWidth="1"/>
    <x:col min="8" max="8" width="20" hidden="0" customWidth="1"/>
  </x:cols>
  <x:sheetData>
    <x:row r="1" ht="28" customHeight="1">
      <x:c r="A1" s="226" t="str">
        <x:v>09 — Model Controls, Reconciliation &amp; Evidence</x:v>
      </x:c>
      <x:c r="B1" s="226"/>
      <x:c r="C1" s="226"/>
      <x:c r="D1" s="226"/>
      <x:c r="E1" s="226"/>
      <x:c r="F1" s="226"/>
      <x:c r="G1" s="226"/>
      <x:c r="H1" s="226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A recruiter-ready workbook should be reviewable: key calculations must tie and unsupported claims must remain open.</x:v>
      </x:c>
      <x:c r="B2" s="228"/>
      <x:c r="C2" s="228"/>
      <x:c r="D2" s="228"/>
      <x:c r="E2" s="228"/>
      <x:c r="F2" s="228"/>
      <x:c r="G2" s="228"/>
      <x:c r="H2" s="228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Control ID</x:v>
      </x:c>
      <x:c r="B4" s="230" t="str">
        <x:v>Control</x:v>
      </x:c>
      <x:c r="C4" s="230" t="str">
        <x:v>Formula / Test</x:v>
      </x:c>
      <x:c r="D4" s="230" t="str">
        <x:v>Status</x:v>
      </x:c>
      <x:c r="E4" s="230" t="str">
        <x:v>Reviewer Meaning</x:v>
      </x:c>
      <x:c r="F4" s="227"/>
      <x:c r="G4" s="227"/>
      <x:c r="H4" s="227"/>
      <x:c r="I4" s="227"/>
      <x:c r="J4" s="227"/>
      <x:c r="K4" s="227"/>
      <x:c r="L4" s="227"/>
      <x:c r="M4" s="227"/>
      <x:c r="N4" s="227"/>
      <x:c r="O4" s="227"/>
    </x:row>
    <x:row r="5">
      <x:c r="A5" s="227" t="str">
        <x:v>XL-01</x:v>
      </x:c>
      <x:c r="B5" s="227" t="str">
        <x:v>FY2025 actual revenue total</x:v>
      </x:c>
      <x:c r="C5" s="227" t="str">
        <x:v>SUM(02_Actuals monthly revenue)</x:v>
      </x:c>
      <x:c r="D5" s="227" t="str">
        <x:v>PASS</x:v>
      </x:c>
      <x:c r="E5" s="227" t="str">
        <x:v>Completeness of monthly P&amp;L base</x:v>
      </x:c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27" t="str">
        <x:v>XL-02</x:v>
      </x:c>
      <x:c r="B6" s="227" t="str">
        <x:v>Gross margin formula</x:v>
      </x:c>
      <x:c r="C6" s="227" t="str">
        <x:v>Gross Profit / Revenue</x:v>
      </x:c>
      <x:c r="D6" s="227" t="str">
        <x:v>PASS</x:v>
      </x:c>
      <x:c r="E6" s="227" t="str">
        <x:v>No hard-coded margin</x:v>
      </x:c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27" t="str">
        <x:v>XL-03</x:v>
      </x:c>
      <x:c r="B7" s="227" t="str">
        <x:v>Working-capital identity</x:v>
      </x:c>
      <x:c r="C7" s="227" t="str">
        <x:v>AR + Inventory − AP</x:v>
      </x:c>
      <x:c r="D7" s="227" t="str">
        <x:v>PASS</x:v>
      </x:c>
      <x:c r="E7" s="227" t="str">
        <x:v>Operating WC ties</x:v>
      </x:c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27" t="str">
        <x:v>XL-04</x:v>
      </x:c>
      <x:c r="B8" s="227" t="str">
        <x:v>CCC identity</x:v>
      </x:c>
      <x:c r="C8" s="227" t="str">
        <x:v>DSO + DIO − DPO</x:v>
      </x:c>
      <x:c r="D8" s="227" t="str">
        <x:v>PASS</x:v>
      </x:c>
      <x:c r="E8" s="227" t="str">
        <x:v>Days bridge ties</x:v>
      </x:c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27" t="str">
        <x:v>XL-05</x:v>
      </x:c>
      <x:c r="B9" s="227" t="str">
        <x:v>Scenario selector</x:v>
      </x:c>
      <x:c r="C9" s="227" t="str">
        <x:v>INDEX/MATCH to controlled scenario table</x:v>
      </x:c>
      <x:c r="D9" s="227" t="str">
        <x:v>PASS</x:v>
      </x:c>
      <x:c r="E9" s="227" t="str">
        <x:v>Single input drives outputs</x:v>
      </x:c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27" t="str">
        <x:v>XL-06</x:v>
      </x:c>
      <x:c r="B10" s="227" t="str">
        <x:v>Commercial hurdle</x:v>
      </x:c>
      <x:c r="C10" s="227" t="str">
        <x:v>CM &gt;= 25%</x:v>
      </x:c>
      <x:c r="D10" s="227" t="str">
        <x:v>PASS</x:v>
      </x:c>
      <x:c r="E10" s="227" t="str">
        <x:v>Decision logic visible</x:v>
      </x:c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27" t="str">
        <x:v>XL-07</x:v>
      </x:c>
      <x:c r="B11" s="227" t="str">
        <x:v>Historical forecast OOS</x:v>
      </x:c>
      <x:c r="C11" s="227" t="str">
        <x:v>Rolling-origin no-look-ahead</x:v>
      </x:c>
      <x:c r="D11" s="227" t="str">
        <x:v>PASS</x:v>
      </x:c>
      <x:c r="E11" s="227" t="str">
        <x:v>Forecast evidence is governed</x:v>
      </x:c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27" t="str">
        <x:v>XL-08</x:v>
      </x:c>
      <x:c r="B12" s="227" t="str">
        <x:v>Live forecast accuracy</x:v>
      </x:c>
      <x:c r="C12" s="227" t="str">
        <x:v>Pre-close frozen forecast + post-close actual</x:v>
      </x:c>
      <x:c r="D12" s="227" t="str">
        <x:v>OPEN</x:v>
      </x:c>
      <x:c r="E12" s="227" t="str">
        <x:v>Gate A input required</x:v>
      </x:c>
      <x:c r="F12" s="227"/>
      <x:c r="G12" s="227"/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27" t="str">
        <x:v>XL-09</x:v>
      </x:c>
      <x:c r="B13" s="227" t="str">
        <x:v>Page 6 OPEX bridge</x:v>
      </x:c>
      <x:c r="C13" s="227" t="str">
        <x:v>Planning OPEX vs core P&amp;L OPEX</x:v>
      </x:c>
      <x:c r="D13" s="227" t="str">
        <x:v>OPEN</x:v>
      </x:c>
      <x:c r="E13" s="227" t="str">
        <x:v>+496.1m disclosed, not hidden</x:v>
      </x:c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>
      <x:c r="A14" s="227"/>
      <x:c r="B14" s="227"/>
      <x:c r="C14" s="227"/>
      <x:c r="D14" s="227"/>
      <x:c r="E14" s="227"/>
      <x:c r="F14" s="227"/>
      <x:c r="G14" s="227"/>
      <x:c r="H14" s="227"/>
      <x:c r="I14" s="227"/>
      <x:c r="J14" s="227"/>
      <x:c r="K14" s="227"/>
      <x:c r="L14" s="227"/>
      <x:c r="M14" s="227"/>
      <x:c r="N14" s="227"/>
      <x:c r="O14" s="227"/>
    </x:row>
    <x:row r="15" ht="20" customHeight="1">
      <x:c r="A15" s="226" t="str">
        <x:v>LIVE FORMULA CHECKS</x:v>
      </x:c>
      <x:c r="B15" s="226"/>
      <x:c r="C15" s="226"/>
      <x:c r="D15" s="226"/>
      <x:c r="E15" s="226"/>
      <x:c r="F15" s="226"/>
      <x:c r="G15" s="226"/>
      <x:c r="H15" s="226"/>
      <x:c r="I15" s="227"/>
      <x:c r="J15" s="227"/>
      <x:c r="K15" s="227"/>
      <x:c r="L15" s="227"/>
      <x:c r="M15" s="227"/>
      <x:c r="N15" s="227"/>
      <x:c r="O15" s="227"/>
    </x:row>
    <x:row r="16">
      <x:c r="A16" s="230" t="str">
        <x:v>Check</x:v>
      </x:c>
      <x:c r="B16" s="230" t="str">
        <x:v>Formula-driven result</x:v>
      </x:c>
      <x:c r="C16" s="230" t="str">
        <x:v>Expected</x:v>
      </x:c>
      <x:c r="D16" s="230" t="str">
        <x:v>Status</x:v>
      </x:c>
      <x:c r="E16" s="227"/>
      <x:c r="F16" s="227"/>
      <x:c r="G16" s="227"/>
      <x:c r="H16" s="227"/>
      <x:c r="I16" s="227"/>
      <x:c r="J16" s="227"/>
      <x:c r="K16" s="227"/>
      <x:c r="L16" s="227"/>
      <x:c r="M16" s="227"/>
      <x:c r="N16" s="227"/>
      <x:c r="O16" s="227"/>
    </x:row>
    <x:row r="17">
      <x:c r="A17" s="227" t="str">
        <x:v>Actual Revenue Total</x:v>
      </x:c>
      <x:c r="B17" s="259" t="n">
        <x:f>'02_Actuals'!B18</x:f>
        <x:v>84.55858112599999</x:v>
      </x:c>
      <x:c r="C17" s="227" t="n">
        <x:v>84.558581126</x:v>
      </x:c>
      <x:c r="D17" s="227" t="str">
        <x:f>IF(ABS(B17-C17)&lt;0.0001,"PASS","FAIL")</x:f>
        <x:v>PASS</x:v>
      </x:c>
      <x:c r="E17" s="227"/>
      <x:c r="F17" s="227"/>
      <x:c r="G17" s="227"/>
      <x:c r="H17" s="227"/>
      <x:c r="I17" s="227"/>
      <x:c r="J17" s="227"/>
      <x:c r="K17" s="227"/>
      <x:c r="L17" s="227"/>
      <x:c r="M17" s="227"/>
      <x:c r="N17" s="227"/>
      <x:c r="O17" s="227"/>
    </x:row>
    <x:row r="18">
      <x:c r="A18" s="227" t="str">
        <x:v>Operating WC</x:v>
      </x:c>
      <x:c r="B18" s="259" t="n">
        <x:f>'05_Working_Capital'!B8</x:f>
        <x:v>13.337000000000002</x:v>
      </x:c>
      <x:c r="C18" s="227" t="n">
        <x:v>13.337</x:v>
      </x:c>
      <x:c r="D18" s="227" t="str">
        <x:f>IF(ABS(B18-C18)&lt;0.0001,"PASS","FAIL")</x:f>
        <x:v>PASS</x:v>
      </x:c>
      <x:c r="E18" s="227"/>
      <x:c r="F18" s="227"/>
      <x:c r="G18" s="227"/>
      <x:c r="H18" s="227"/>
      <x:c r="I18" s="227"/>
      <x:c r="J18" s="227"/>
      <x:c r="K18" s="227"/>
      <x:c r="L18" s="227"/>
      <x:c r="M18" s="227"/>
      <x:c r="N18" s="227"/>
      <x:c r="O18" s="227"/>
    </x:row>
    <x:row r="19">
      <x:c r="A19" s="227" t="str">
        <x:v>Core CCC</x:v>
      </x:c>
      <x:c r="B19" s="259" t="n">
        <x:f>'05_Working_Capital'!B14</x:f>
        <x:v>54</x:v>
      </x:c>
      <x:c r="C19" s="227" t="n">
        <x:v>54</x:v>
      </x:c>
      <x:c r="D19" s="227" t="str">
        <x:f>IF(ABS(B19-C19)&lt;0.0001,"PASS","FAIL")</x:f>
        <x:v>PASS</x:v>
      </x:c>
      <x:c r="E19" s="227"/>
      <x:c r="F19" s="227"/>
      <x:c r="G19" s="227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27" t="str">
        <x:v>Base Scenario Revenue</x:v>
      </x:c>
      <x:c r="B20" s="259" t="n">
        <x:f>'01_Assumptions'!B5</x:f>
        <x:v>82.5138</x:v>
      </x:c>
      <x:c r="C20" s="227" t="n">
        <x:v>82.5138</x:v>
      </x:c>
      <x:c r="D20" s="227" t="str">
        <x:f>IF(ABS(B20-C20)&lt;0.0001,"PASS","FAIL")</x:f>
        <x:v>PASS</x:v>
      </x:c>
      <x:c r="E20" s="227"/>
      <x:c r="F20" s="227"/>
      <x:c r="G20" s="227"/>
      <x:c r="H20" s="227"/>
      <x:c r="I20" s="227"/>
      <x:c r="J20" s="227"/>
      <x:c r="K20" s="227"/>
      <x:c r="L20" s="227"/>
      <x:c r="M20" s="227"/>
      <x:c r="N20" s="227"/>
      <x:c r="O20" s="227"/>
    </x:row>
    <x:row r="21">
      <x:c r="A21" s="227" t="str">
        <x:v>Base Scenario EBITDA Proxy</x:v>
      </x:c>
      <x:c r="B21" s="259" t="n">
        <x:f>'01_Assumptions'!B8</x:f>
        <x:v>12.8956</x:v>
      </x:c>
      <x:c r="C21" s="227" t="n">
        <x:v>12.8956</x:v>
      </x:c>
      <x:c r="D21" s="227" t="str">
        <x:f>IF(ABS(B21-C21)&lt;0.0001,"PASS","FAIL")</x:f>
        <x:v>PASS</x:v>
      </x:c>
      <x:c r="E21" s="227"/>
      <x:c r="F21" s="227"/>
      <x:c r="G21" s="227"/>
      <x:c r="H21" s="227"/>
      <x:c r="I21" s="227"/>
      <x:c r="J21" s="227"/>
      <x:c r="K21" s="227"/>
      <x:c r="L21" s="227"/>
      <x:c r="M21" s="227"/>
      <x:c r="N21" s="227"/>
      <x:c r="O21" s="227"/>
    </x:row>
    <x:row r="22">
      <x:c r="A22" s="227" t="str">
        <x:v>Base Scenario CM</x:v>
      </x:c>
      <x:c r="B22" s="259" t="n">
        <x:f>'01_Assumptions'!B9/'01_Assumptions'!B5</x:f>
        <x:v>0.2933739568411587</x:v>
      </x:c>
      <x:c r="C22" s="227" t="n">
        <x:v>0.2933739568411587</x:v>
      </x:c>
      <x:c r="D22" s="227" t="str">
        <x:f>IF(ABS(B22-C22)&lt;0.0001,"PASS","FAIL")</x:f>
        <x:v>PASS</x:v>
      </x:c>
      <x:c r="E22" s="227"/>
      <x:c r="F22" s="227"/>
      <x:c r="G22" s="227"/>
      <x:c r="H22" s="227"/>
      <x:c r="I22" s="227"/>
      <x:c r="J22" s="227"/>
      <x:c r="K22" s="227"/>
      <x:c r="L22" s="227"/>
      <x:c r="M22" s="227"/>
      <x:c r="N22" s="227"/>
      <x:c r="O22" s="227"/>
    </x:row>
    <x:row r="23">
      <x:c r="A23" s="227"/>
      <x:c r="B23" s="227"/>
      <x:c r="C23" s="227"/>
      <x:c r="D23" s="227"/>
      <x:c r="E23" s="227"/>
      <x:c r="F23" s="227"/>
      <x:c r="G23" s="227"/>
      <x:c r="H23" s="227"/>
      <x:c r="I23" s="227"/>
      <x:c r="J23" s="227"/>
      <x:c r="K23" s="227"/>
      <x:c r="L23" s="227"/>
      <x:c r="M23" s="227"/>
      <x:c r="N23" s="227"/>
      <x:c r="O23" s="227"/>
    </x:row>
    <x:row r="24">
      <x:c r="A24" s="284" t="str">
        <x:v>Model-control principle: if evidence is missing, keep the claim OPEN rather than forcing a number. Historical OOS evidence does not close the live forecast-accuracy Gate A.</x:v>
      </x:c>
      <x:c r="B24" s="284"/>
      <x:c r="C24" s="284"/>
      <x:c r="D24" s="284"/>
      <x:c r="E24" s="284"/>
      <x:c r="F24" s="284"/>
      <x:c r="G24" s="284"/>
      <x:c r="H24" s="284"/>
      <x:c r="I24" s="227"/>
      <x:c r="J24" s="227"/>
      <x:c r="K24" s="227"/>
      <x:c r="L24" s="227"/>
      <x:c r="M24" s="227"/>
      <x:c r="N24" s="227"/>
      <x:c r="O24" s="227"/>
    </x:row>
    <x:row r="25">
      <x:c r="A25" s="284"/>
      <x:c r="B25" s="284"/>
      <x:c r="C25" s="284"/>
      <x:c r="D25" s="284"/>
      <x:c r="E25" s="284"/>
      <x:c r="F25" s="284"/>
      <x:c r="G25" s="284"/>
      <x:c r="H25" s="284"/>
      <x:c r="I25" s="227"/>
      <x:c r="J25" s="227"/>
      <x:c r="K25" s="227"/>
      <x:c r="L25" s="227"/>
      <x:c r="M25" s="227"/>
      <x:c r="N25" s="227"/>
      <x:c r="O25" s="227"/>
    </x:row>
    <x:row r="26">
      <x:c r="A26" s="284"/>
      <x:c r="B26" s="284"/>
      <x:c r="C26" s="284"/>
      <x:c r="D26" s="284"/>
      <x:c r="E26" s="284"/>
      <x:c r="F26" s="284"/>
      <x:c r="G26" s="284"/>
      <x:c r="H26" s="284"/>
      <x:c r="I26" s="227"/>
      <x:c r="J26" s="227"/>
      <x:c r="K26" s="227"/>
      <x:c r="L26" s="227"/>
      <x:c r="M26" s="227"/>
      <x:c r="N26" s="227"/>
      <x:c r="O26" s="227"/>
    </x:row>
    <x:row r="27">
      <x:c r="A27" s="284"/>
      <x:c r="B27" s="284"/>
      <x:c r="C27" s="284"/>
      <x:c r="D27" s="284"/>
      <x:c r="E27" s="284"/>
      <x:c r="F27" s="284"/>
      <x:c r="G27" s="284"/>
      <x:c r="H27" s="284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H1"/>
    <x:mergeCell ref="A2:H2"/>
    <x:mergeCell ref="A15:H15"/>
    <x:mergeCell ref="A24:H27"/>
  </x:mergeCells>
  <x:conditionalFormatting sqref="D5:D13">
    <x:cfRule type="expression" dxfId="7" priority="1">
      <x:formula>D5="PASS"</x:formula>
    </x:cfRule>
    <x:cfRule type="expression" dxfId="8" priority="2">
      <x:formula>D5="OPEN"</x:formula>
    </x:cfRule>
  </x:conditionalFormatting>
  <x:conditionalFormatting sqref="D17:D22">
    <x:cfRule type="expression" dxfId="9" priority="3">
      <x:formula>D17="PASS"</x:formula>
    </x:cfRule>
    <x:cfRule type="expression" dxfId="10" priority="4">
      <x:formula>D17="FAIL"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226" t="str">
        <x:v>10 — What I Built, What I Learned, What I Can Bring</x:v>
      </x:c>
      <x:c r="B1" s="226"/>
      <x:c r="C1" s="226"/>
      <x:c r="D1" s="226"/>
      <x:c r="E1" s="226"/>
      <x:c r="F1" s="226"/>
      <x:c r="G1" s="226"/>
      <x:c r="H1" s="226"/>
      <x:c r="I1" s="227"/>
      <x:c r="J1" s="227"/>
      <x:c r="K1" s="227"/>
      <x:c r="L1" s="227"/>
      <x:c r="M1" s="227"/>
      <x:c r="N1" s="227"/>
      <x:c r="O1" s="227"/>
    </x:row>
    <x:row r="2" ht="34" customHeight="1">
      <x:c r="A2" s="228" t="str">
        <x:v>Recruiter summary: the workbook is an Excel demonstration, not only a static reporting artifact.</x:v>
      </x:c>
      <x:c r="B2" s="228"/>
      <x:c r="C2" s="228"/>
      <x:c r="D2" s="228"/>
      <x:c r="E2" s="228"/>
      <x:c r="F2" s="228"/>
      <x:c r="G2" s="228"/>
      <x:c r="H2" s="228"/>
      <x:c r="I2" s="227"/>
      <x:c r="J2" s="227"/>
      <x:c r="K2" s="227"/>
      <x:c r="L2" s="227"/>
      <x:c r="M2" s="227"/>
      <x:c r="N2" s="227"/>
      <x:c r="O2" s="227"/>
    </x:row>
    <x:row r="3">
      <x:c r="A3" s="227"/>
      <x:c r="B3" s="227"/>
      <x:c r="C3" s="227"/>
      <x:c r="D3" s="227"/>
      <x:c r="E3" s="227"/>
      <x:c r="F3" s="227"/>
      <x:c r="G3" s="227"/>
      <x:c r="H3" s="227"/>
      <x:c r="I3" s="227"/>
      <x:c r="J3" s="227"/>
      <x:c r="K3" s="227"/>
      <x:c r="L3" s="227"/>
      <x:c r="M3" s="227"/>
      <x:c r="N3" s="227"/>
      <x:c r="O3" s="227"/>
    </x:row>
    <x:row r="4">
      <x:c r="A4" s="230" t="str">
        <x:v>Capability</x:v>
      </x:c>
      <x:c r="B4" s="230" t="str">
        <x:v>What I built in Excel</x:v>
      </x:c>
      <x:c r="C4" s="230" t="str">
        <x:v>What I learned</x:v>
      </x:c>
      <x:c r="D4" s="230" t="str">
        <x:v>Value to employer</x:v>
      </x:c>
      <x:c r="E4" s="227"/>
      <x:c r="F4" s="227"/>
      <x:c r="G4" s="227"/>
      <x:c r="H4" s="227"/>
      <x:c r="I4" s="227"/>
      <x:c r="J4" s="227"/>
      <x:c r="K4" s="227"/>
      <x:c r="L4" s="227"/>
      <x:c r="M4" s="227"/>
      <x:c r="N4" s="227"/>
      <x:c r="O4" s="227"/>
    </x:row>
    <x:row r="5">
      <x:c r="A5" s="290" t="str">
        <x:v>Model architecture</x:v>
      </x:c>
      <x:c r="B5" s="287" t="str">
        <x:v>Separated assumptions, workings, outputs and controls</x:v>
      </x:c>
      <x:c r="C5" s="287" t="str">
        <x:v>How to make a model auditable and easy to navigate</x:v>
      </x:c>
      <x:c r="D5" s="287" t="str">
        <x:v>Can maintain finance models without mixing inputs and outputs</x:v>
      </x:c>
      <x:c r="E5" s="227"/>
      <x:c r="F5" s="227"/>
      <x:c r="G5" s="227"/>
      <x:c r="H5" s="227"/>
      <x:c r="I5" s="227"/>
      <x:c r="J5" s="227"/>
      <x:c r="K5" s="227"/>
      <x:c r="L5" s="227"/>
      <x:c r="M5" s="227"/>
      <x:c r="N5" s="227"/>
      <x:c r="O5" s="227"/>
    </x:row>
    <x:row r="6">
      <x:c r="A6" s="290" t="str">
        <x:v>Management P&amp;L</x:v>
      </x:c>
      <x:c r="B6" s="287" t="str">
        <x:v>Monthly Actual / Budget / Forecast and margin formulas</x:v>
      </x:c>
      <x:c r="C6" s="287" t="str">
        <x:v>How topline converts to GP / EBITDA proxy</x:v>
      </x:c>
      <x:c r="D6" s="287" t="str">
        <x:v>Can support monthly reporting and variance review</x:v>
      </x:c>
      <x:c r="E6" s="227"/>
      <x:c r="F6" s="227"/>
      <x:c r="G6" s="227"/>
      <x:c r="H6" s="227"/>
      <x:c r="I6" s="227"/>
      <x:c r="J6" s="227"/>
      <x:c r="K6" s="227"/>
      <x:c r="L6" s="227"/>
      <x:c r="M6" s="227"/>
      <x:c r="N6" s="227"/>
      <x:c r="O6" s="227"/>
    </x:row>
    <x:row r="7">
      <x:c r="A7" s="290" t="str">
        <x:v>Variance analysis</x:v>
      </x:c>
      <x:c r="B7" s="287" t="str">
        <x:v>Actual-vs-plan formulas and conditional formatting</x:v>
      </x:c>
      <x:c r="C7" s="287" t="str">
        <x:v>How to move from KPI change to root cause</x:v>
      </x:c>
      <x:c r="D7" s="287" t="str">
        <x:v>Can investigate revenue, margin and cost movement</x:v>
      </x:c>
      <x:c r="E7" s="227"/>
      <x:c r="F7" s="227"/>
      <x:c r="G7" s="227"/>
      <x:c r="H7" s="227"/>
      <x:c r="I7" s="227"/>
      <x:c r="J7" s="227"/>
      <x:c r="K7" s="227"/>
      <x:c r="L7" s="227"/>
      <x:c r="M7" s="227"/>
      <x:c r="N7" s="227"/>
      <x:c r="O7" s="227"/>
    </x:row>
    <x:row r="8">
      <x:c r="A8" s="290" t="str">
        <x:v>Commercial finance</x:v>
      </x:c>
      <x:c r="B8" s="287" t="str">
        <x:v>Channel CM, SUMIFS selector and hurdle logic</x:v>
      </x:c>
      <x:c r="C8" s="287" t="str">
        <x:v>Revenue growth must clear contribution economics</x:v>
      </x:c>
      <x:c r="D8" s="287" t="str">
        <x:v>Can support pricing, promo and channel decisions</x:v>
      </x:c>
      <x:c r="E8" s="227"/>
      <x:c r="F8" s="227"/>
      <x:c r="G8" s="227"/>
      <x:c r="H8" s="227"/>
      <x:c r="I8" s="227"/>
      <x:c r="J8" s="227"/>
      <x:c r="K8" s="227"/>
      <x:c r="L8" s="227"/>
      <x:c r="M8" s="227"/>
      <x:c r="N8" s="227"/>
      <x:c r="O8" s="227"/>
    </x:row>
    <x:row r="9">
      <x:c r="A9" s="290" t="str">
        <x:v>Working capital</x:v>
      </x:c>
      <x:c r="B9" s="287" t="str">
        <x:v>AR / Inventory / AP / OWC / CCC driver formulas</x:v>
      </x:c>
      <x:c r="C9" s="287" t="str">
        <x:v>Profit does not equal cash</x:v>
      </x:c>
      <x:c r="D9" s="287" t="str">
        <x:v>Can monitor DSO/DIO/DPO and cash conversion</x:v>
      </x:c>
      <x:c r="E9" s="227"/>
      <x:c r="F9" s="227"/>
      <x:c r="G9" s="227"/>
      <x:c r="H9" s="227"/>
      <x:c r="I9" s="227"/>
      <x:c r="J9" s="227"/>
      <x:c r="K9" s="227"/>
      <x:c r="L9" s="227"/>
      <x:c r="M9" s="227"/>
      <x:c r="N9" s="227"/>
      <x:c r="O9" s="227"/>
    </x:row>
    <x:row r="10">
      <x:c r="A10" s="290" t="str">
        <x:v>Scenario planning</x:v>
      </x:c>
      <x:c r="B10" s="287" t="str">
        <x:v>Data validation selector + INDEX/MATCH outputs</x:v>
      </x:c>
      <x:c r="C10" s="287" t="str">
        <x:v>Base is an anchor; Upside/Downside are decision boundaries</x:v>
      </x:c>
      <x:c r="D10" s="287" t="str">
        <x:v>Can support forecast cycles and what-if analysis</x:v>
      </x:c>
      <x:c r="E10" s="227"/>
      <x:c r="F10" s="227"/>
      <x:c r="G10" s="227"/>
      <x:c r="H10" s="227"/>
      <x:c r="I10" s="227"/>
      <x:c r="J10" s="227"/>
      <x:c r="K10" s="227"/>
      <x:c r="L10" s="227"/>
      <x:c r="M10" s="227"/>
      <x:c r="N10" s="227"/>
      <x:c r="O10" s="227"/>
    </x:row>
    <x:row r="11">
      <x:c r="A11" s="290" t="str">
        <x:v>Forecast governance</x:v>
      </x:c>
      <x:c r="B11" s="287" t="str">
        <x:v>Bias / WAPE benchmark table and evidence labels</x:v>
      </x:c>
      <x:c r="C11" s="287" t="str">
        <x:v>Model complexity must earn its place</x:v>
      </x:c>
      <x:c r="D11" s="287" t="str">
        <x:v>Can evaluate forecast performance and avoid leakage</x:v>
      </x:c>
      <x:c r="E11" s="227"/>
      <x:c r="F11" s="227"/>
      <x:c r="G11" s="227"/>
      <x:c r="H11" s="227"/>
      <x:c r="I11" s="227"/>
      <x:c r="J11" s="227"/>
      <x:c r="K11" s="227"/>
      <x:c r="L11" s="227"/>
      <x:c r="M11" s="227"/>
      <x:c r="N11" s="227"/>
      <x:c r="O11" s="227"/>
    </x:row>
    <x:row r="12">
      <x:c r="A12" s="290" t="str">
        <x:v>Controls &amp; versioning</x:v>
      </x:c>
      <x:c r="B12" s="287" t="str">
        <x:v>Formula checks, PASS/OPEN status, evidence boundary and change log</x:v>
      </x:c>
      <x:c r="C12" s="287" t="str">
        <x:v>A good model must be reviewable, defensible and maintainable across versions</x:v>
      </x:c>
      <x:c r="D12" s="287" t="str">
        <x:v>Can reduce spreadsheet risk and support handover</x:v>
      </x:c>
      <x:c r="E12" s="227"/>
      <x:c r="F12" s="227"/>
      <x:c r="G12" s="227"/>
      <x:c r="H12" s="227"/>
      <x:c r="I12" s="227"/>
      <x:c r="J12" s="227"/>
      <x:c r="K12" s="227"/>
      <x:c r="L12" s="227"/>
      <x:c r="M12" s="227"/>
      <x:c r="N12" s="227"/>
      <x:c r="O12" s="227"/>
    </x:row>
    <x:row r="13">
      <x:c r="A13" s="227"/>
      <x:c r="B13" s="227"/>
      <x:c r="C13" s="227"/>
      <x:c r="D13" s="227"/>
      <x:c r="E13" s="227"/>
      <x:c r="F13" s="227"/>
      <x:c r="G13" s="227"/>
      <x:c r="H13" s="227"/>
      <x:c r="I13" s="227"/>
      <x:c r="J13" s="227"/>
      <x:c r="K13" s="227"/>
      <x:c r="L13" s="227"/>
      <x:c r="M13" s="227"/>
      <x:c r="N13" s="227"/>
      <x:c r="O13" s="227"/>
    </x:row>
    <x:row r="14" ht="20" customHeight="1">
      <x:c r="A14" s="226" t="str">
        <x:v>EXCEL FUNCTIONS / FEATURES DEMONSTRATED</x:v>
      </x:c>
      <x:c r="B14" s="226"/>
      <x:c r="C14" s="226"/>
      <x:c r="D14" s="226"/>
      <x:c r="E14" s="226"/>
      <x:c r="F14" s="226"/>
      <x:c r="G14" s="226"/>
      <x:c r="H14" s="226"/>
      <x:c r="I14" s="227"/>
      <x:c r="J14" s="227"/>
      <x:c r="K14" s="227"/>
      <x:c r="L14" s="227"/>
      <x:c r="M14" s="227"/>
      <x:c r="N14" s="227"/>
      <x:c r="O14" s="227"/>
    </x:row>
    <x:row r="15">
      <x:c r="A15" s="230" t="str">
        <x:v>Formulas</x:v>
      </x:c>
      <x:c r="B15" s="230" t="str">
        <x:v>SUM / IF / IFERROR</x:v>
      </x:c>
      <x:c r="C15" s="230" t="str">
        <x:v>SUMIFS</x:v>
      </x:c>
      <x:c r="D15" s="230" t="str">
        <x:v>INDEX + MATCH</x:v>
      </x:c>
      <x:c r="E15" s="230" t="str">
        <x:v>Cross-sheet links</x:v>
      </x:c>
      <x:c r="F15" s="230" t="str">
        <x:v>Variance %</x:v>
      </x:c>
      <x:c r="G15" s="230" t="str">
        <x:v>Margin formulas</x:v>
      </x:c>
      <x:c r="H15" s="230" t="str">
        <x:v>Control tests</x:v>
      </x:c>
      <x:c r="I15" s="227"/>
      <x:c r="J15" s="227"/>
      <x:c r="K15" s="227"/>
      <x:c r="L15" s="227"/>
      <x:c r="M15" s="227"/>
      <x:c r="N15" s="227"/>
      <x:c r="O15" s="227"/>
    </x:row>
    <x:row r="16">
      <x:c r="A16" s="227" t="str">
        <x:v>Model features</x:v>
      </x:c>
      <x:c r="B16" s="227" t="str">
        <x:v>Data validation</x:v>
      </x:c>
      <x:c r="C16" s="227" t="str">
        <x:v>Conditional formatting</x:v>
      </x:c>
      <x:c r="D16" s="227" t="str">
        <x:v>Charts</x:v>
      </x:c>
      <x:c r="E16" s="227" t="str">
        <x:v>Number formats</x:v>
      </x:c>
      <x:c r="F16" s="227" t="str">
        <x:v>Input/formula colors</x:v>
      </x:c>
      <x:c r="G16" s="227" t="str">
        <x:v>Scenario selector</x:v>
      </x:c>
      <x:c r="H16" s="227" t="str">
        <x:v>Documentation</x:v>
      </x:c>
      <x:c r="I16" s="227"/>
      <x:c r="J16" s="227"/>
      <x:c r="K16" s="227"/>
      <x:c r="L16" s="227"/>
      <x:c r="M16" s="227"/>
      <x:c r="N16" s="227"/>
      <x:c r="O16" s="227"/>
    </x:row>
    <x:row r="17">
      <x:c r="A17" s="227" t="str">
        <x:v>Finance metrics</x:v>
      </x:c>
      <x:c r="B17" s="227" t="str">
        <x:v>P&amp;L</x:v>
      </x:c>
      <x:c r="C17" s="227" t="str">
        <x:v>Gross Margin</x:v>
      </x:c>
      <x:c r="D17" s="227" t="str">
        <x:v>Contribution Margin</x:v>
      </x:c>
      <x:c r="E17" s="227" t="str">
        <x:v>EBITDA Proxy</x:v>
      </x:c>
      <x:c r="F17" s="227" t="str">
        <x:v>DSO / DIO / DPO</x:v>
      </x:c>
      <x:c r="G17" s="227" t="str">
        <x:v>CCC</x:v>
      </x:c>
      <x:c r="H17" s="227" t="str">
        <x:v>Bias / WAPE</x:v>
      </x:c>
      <x:c r="I17" s="227"/>
      <x:c r="J17" s="227"/>
      <x:c r="K17" s="227"/>
      <x:c r="L17" s="227"/>
      <x:c r="M17" s="227"/>
      <x:c r="N17" s="227"/>
      <x:c r="O17" s="227"/>
    </x:row>
    <x:row r="18">
      <x:c r="A18" s="227" t="str">
        <x:v>Interview message</x:v>
      </x:c>
      <x:c r="B18" s="227" t="str">
        <x:v>I can structure</x:v>
      </x:c>
      <x:c r="C18" s="227" t="str"/>
      <x:c r="D18" s="227" t="str">
        <x:v>I can analyze</x:v>
      </x:c>
      <x:c r="E18" s="227" t="str"/>
      <x:c r="F18" s="227" t="str">
        <x:v>I can explain</x:v>
      </x:c>
      <x:c r="G18" s="227" t="str"/>
      <x:c r="H18" s="227" t="str">
        <x:v>I can control</x:v>
      </x:c>
      <x:c r="I18" s="227"/>
      <x:c r="J18" s="227"/>
      <x:c r="K18" s="227"/>
      <x:c r="L18" s="227"/>
      <x:c r="M18" s="227"/>
      <x:c r="N18" s="227"/>
      <x:c r="O18" s="227"/>
    </x:row>
    <x:row r="19">
      <x:c r="A19" s="227"/>
      <x:c r="B19" s="227"/>
      <x:c r="C19" s="227"/>
      <x:c r="D19" s="227"/>
      <x:c r="E19" s="227"/>
      <x:c r="F19" s="227"/>
      <x:c r="G19" s="227"/>
      <x:c r="H19" s="227"/>
      <x:c r="I19" s="227"/>
      <x:c r="J19" s="227"/>
      <x:c r="K19" s="227"/>
      <x:c r="L19" s="227"/>
      <x:c r="M19" s="227"/>
      <x:c r="N19" s="227"/>
      <x:c r="O19" s="227"/>
    </x:row>
    <x:row r="20">
      <x:c r="A20" s="229" t="str">
        <x:v>Core interview message: “Em có thể dùng Excel để biến dữ liệu vận hành thành management reporting, tìm driver của biến động, chạy scenario, theo dõi profitability / working capital và đặt control để output có thể kiểm chứng được.”</x:v>
      </x:c>
      <x:c r="B20" s="229"/>
      <x:c r="C20" s="229"/>
      <x:c r="D20" s="229"/>
      <x:c r="E20" s="229"/>
      <x:c r="F20" s="229"/>
      <x:c r="G20" s="229"/>
      <x:c r="H20" s="229"/>
      <x:c r="I20" s="227"/>
      <x:c r="J20" s="227"/>
      <x:c r="K20" s="227"/>
      <x:c r="L20" s="227"/>
      <x:c r="M20" s="227"/>
      <x:c r="N20" s="227"/>
      <x:c r="O20" s="227"/>
    </x:row>
    <x:row r="21">
      <x:c r="A21" s="229"/>
      <x:c r="B21" s="229"/>
      <x:c r="C21" s="229"/>
      <x:c r="D21" s="229"/>
      <x:c r="E21" s="229"/>
      <x:c r="F21" s="229"/>
      <x:c r="G21" s="229"/>
      <x:c r="H21" s="229"/>
      <x:c r="I21" s="227"/>
      <x:c r="J21" s="227"/>
      <x:c r="K21" s="227"/>
      <x:c r="L21" s="227"/>
      <x:c r="M21" s="227"/>
      <x:c r="N21" s="227"/>
      <x:c r="O21" s="227"/>
    </x:row>
    <x:row r="22">
      <x:c r="A22" s="229"/>
      <x:c r="B22" s="229"/>
      <x:c r="C22" s="229"/>
      <x:c r="D22" s="229"/>
      <x:c r="E22" s="229"/>
      <x:c r="F22" s="229"/>
      <x:c r="G22" s="229"/>
      <x:c r="H22" s="229"/>
      <x:c r="I22" s="227"/>
      <x:c r="J22" s="227"/>
      <x:c r="K22" s="227"/>
      <x:c r="L22" s="227"/>
      <x:c r="M22" s="227"/>
      <x:c r="N22" s="227"/>
      <x:c r="O22" s="227"/>
    </x:row>
    <x:row r="23">
      <x:c r="A23" s="229"/>
      <x:c r="B23" s="229"/>
      <x:c r="C23" s="229"/>
      <x:c r="D23" s="229"/>
      <x:c r="E23" s="229"/>
      <x:c r="F23" s="229"/>
      <x:c r="G23" s="229"/>
      <x:c r="H23" s="229"/>
      <x:c r="I23" s="227"/>
      <x:c r="J23" s="227"/>
      <x:c r="K23" s="227"/>
      <x:c r="L23" s="227"/>
      <x:c r="M23" s="227"/>
      <x:c r="N23" s="227"/>
      <x:c r="O23" s="227"/>
    </x:row>
    <x:row r="24">
      <x:c r="A24" s="229"/>
      <x:c r="B24" s="229"/>
      <x:c r="C24" s="229"/>
      <x:c r="D24" s="229"/>
      <x:c r="E24" s="229"/>
      <x:c r="F24" s="229"/>
      <x:c r="G24" s="229"/>
      <x:c r="H24" s="229"/>
      <x:c r="I24" s="227"/>
      <x:c r="J24" s="227"/>
      <x:c r="K24" s="227"/>
      <x:c r="L24" s="227"/>
      <x:c r="M24" s="227"/>
      <x:c r="N24" s="227"/>
      <x:c r="O24" s="227"/>
    </x:row>
    <x:row r="25">
      <x:c r="A25" s="227"/>
      <x:c r="B25" s="227"/>
      <x:c r="C25" s="227"/>
      <x:c r="D25" s="227"/>
      <x:c r="E25" s="227"/>
      <x:c r="F25" s="227"/>
      <x:c r="G25" s="227"/>
      <x:c r="H25" s="227"/>
      <x:c r="I25" s="227"/>
      <x:c r="J25" s="227"/>
      <x:c r="K25" s="227"/>
      <x:c r="L25" s="227"/>
      <x:c r="M25" s="227"/>
      <x:c r="N25" s="227"/>
      <x:c r="O25" s="227"/>
    </x:row>
    <x:row r="26">
      <x:c r="A26" s="227"/>
      <x:c r="B26" s="227"/>
      <x:c r="C26" s="227"/>
      <x:c r="D26" s="227"/>
      <x:c r="E26" s="227"/>
      <x:c r="F26" s="227"/>
      <x:c r="G26" s="227"/>
      <x:c r="H26" s="227"/>
      <x:c r="I26" s="227"/>
      <x:c r="J26" s="227"/>
      <x:c r="K26" s="227"/>
      <x:c r="L26" s="227"/>
      <x:c r="M26" s="227"/>
      <x:c r="N26" s="227"/>
      <x:c r="O26" s="227"/>
    </x:row>
    <x:row r="27">
      <x:c r="A27" s="227"/>
      <x:c r="B27" s="227"/>
      <x:c r="C27" s="227"/>
      <x:c r="D27" s="227"/>
      <x:c r="E27" s="227"/>
      <x:c r="F27" s="227"/>
      <x:c r="G27" s="227"/>
      <x:c r="H27" s="227"/>
      <x:c r="I27" s="227"/>
      <x:c r="J27" s="227"/>
      <x:c r="K27" s="227"/>
      <x:c r="L27" s="227"/>
      <x:c r="M27" s="227"/>
      <x:c r="N27" s="227"/>
      <x:c r="O27" s="227"/>
    </x:row>
    <x:row r="28">
      <x:c r="A28" s="227"/>
      <x:c r="B28" s="227"/>
      <x:c r="C28" s="227"/>
      <x:c r="D28" s="227"/>
      <x:c r="E28" s="227"/>
      <x:c r="F28" s="227"/>
      <x:c r="G28" s="227"/>
      <x:c r="H28" s="227"/>
      <x:c r="I28" s="227"/>
      <x:c r="J28" s="227"/>
      <x:c r="K28" s="227"/>
      <x:c r="L28" s="227"/>
      <x:c r="M28" s="227"/>
      <x:c r="N28" s="227"/>
      <x:c r="O28" s="227"/>
    </x:row>
    <x:row r="29">
      <x:c r="A29" s="227"/>
      <x:c r="B29" s="227"/>
      <x:c r="C29" s="227"/>
      <x:c r="D29" s="227"/>
      <x:c r="E29" s="227"/>
      <x:c r="F29" s="227"/>
      <x:c r="G29" s="227"/>
      <x:c r="H29" s="227"/>
      <x:c r="I29" s="227"/>
      <x:c r="J29" s="227"/>
      <x:c r="K29" s="227"/>
      <x:c r="L29" s="227"/>
      <x:c r="M29" s="227"/>
      <x:c r="N29" s="227"/>
      <x:c r="O29" s="227"/>
    </x:row>
    <x:row r="30">
      <x:c r="A30" s="227"/>
      <x:c r="B30" s="227"/>
      <x:c r="C30" s="227"/>
      <x:c r="D30" s="227"/>
      <x:c r="E30" s="227"/>
      <x:c r="F30" s="227"/>
      <x:c r="G30" s="227"/>
      <x:c r="H30" s="227"/>
      <x:c r="I30" s="227"/>
      <x:c r="J30" s="227"/>
      <x:c r="K30" s="227"/>
      <x:c r="L30" s="227"/>
      <x:c r="M30" s="227"/>
      <x:c r="N30" s="227"/>
      <x:c r="O30" s="227"/>
    </x:row>
    <x:row r="31">
      <x:c r="A31" s="227"/>
      <x:c r="B31" s="227"/>
      <x:c r="C31" s="227"/>
      <x:c r="D31" s="227"/>
      <x:c r="E31" s="227"/>
      <x:c r="F31" s="227"/>
      <x:c r="G31" s="227"/>
      <x:c r="H31" s="227"/>
      <x:c r="I31" s="227"/>
      <x:c r="J31" s="227"/>
      <x:c r="K31" s="227"/>
      <x:c r="L31" s="227"/>
      <x:c r="M31" s="227"/>
      <x:c r="N31" s="227"/>
      <x:c r="O31" s="227"/>
    </x:row>
    <x:row r="32">
      <x:c r="A32" s="227"/>
      <x:c r="B32" s="227"/>
      <x:c r="C32" s="227"/>
      <x:c r="D32" s="227"/>
      <x:c r="E32" s="227"/>
      <x:c r="F32" s="227"/>
      <x:c r="G32" s="227"/>
      <x:c r="H32" s="227"/>
      <x:c r="I32" s="227"/>
      <x:c r="J32" s="227"/>
      <x:c r="K32" s="227"/>
      <x:c r="L32" s="227"/>
      <x:c r="M32" s="227"/>
      <x:c r="N32" s="227"/>
      <x:c r="O32" s="227"/>
    </x:row>
    <x:row r="33">
      <x:c r="A33" s="227"/>
      <x:c r="B33" s="227"/>
      <x:c r="C33" s="227"/>
      <x:c r="D33" s="227"/>
      <x:c r="E33" s="227"/>
      <x:c r="F33" s="227"/>
      <x:c r="G33" s="227"/>
      <x:c r="H33" s="227"/>
      <x:c r="I33" s="227"/>
      <x:c r="J33" s="227"/>
      <x:c r="K33" s="227"/>
      <x:c r="L33" s="227"/>
      <x:c r="M33" s="227"/>
      <x:c r="N33" s="227"/>
      <x:c r="O33" s="227"/>
    </x:row>
    <x:row r="34">
      <x:c r="A34" s="227"/>
      <x:c r="B34" s="227"/>
      <x:c r="C34" s="227"/>
      <x:c r="D34" s="227"/>
      <x:c r="E34" s="227"/>
      <x:c r="F34" s="227"/>
      <x:c r="G34" s="227"/>
      <x:c r="H34" s="227"/>
      <x:c r="I34" s="227"/>
      <x:c r="J34" s="227"/>
      <x:c r="K34" s="227"/>
      <x:c r="L34" s="227"/>
      <x:c r="M34" s="227"/>
      <x:c r="N34" s="227"/>
      <x:c r="O34" s="227"/>
    </x:row>
    <x:row r="35">
      <x:c r="A35" s="227"/>
      <x:c r="B35" s="227"/>
      <x:c r="C35" s="227"/>
      <x:c r="D35" s="227"/>
      <x:c r="E35" s="227"/>
      <x:c r="F35" s="227"/>
      <x:c r="G35" s="227"/>
      <x:c r="H35" s="227"/>
      <x:c r="I35" s="227"/>
      <x:c r="J35" s="227"/>
      <x:c r="K35" s="227"/>
      <x:c r="L35" s="227"/>
      <x:c r="M35" s="227"/>
      <x:c r="N35" s="227"/>
      <x:c r="O35" s="227"/>
    </x:row>
    <x:row r="36">
      <x:c r="A36" s="227"/>
      <x:c r="B36" s="227"/>
      <x:c r="C36" s="227"/>
      <x:c r="D36" s="227"/>
      <x:c r="E36" s="227"/>
      <x:c r="F36" s="227"/>
      <x:c r="G36" s="227"/>
      <x:c r="H36" s="227"/>
      <x:c r="I36" s="227"/>
      <x:c r="J36" s="227"/>
      <x:c r="K36" s="227"/>
      <x:c r="L36" s="227"/>
      <x:c r="M36" s="227"/>
      <x:c r="N36" s="227"/>
      <x:c r="O36" s="227"/>
    </x:row>
    <x:row r="37">
      <x:c r="A37" s="227"/>
      <x:c r="B37" s="227"/>
      <x:c r="C37" s="227"/>
      <x:c r="D37" s="227"/>
      <x:c r="E37" s="227"/>
      <x:c r="F37" s="227"/>
      <x:c r="G37" s="227"/>
      <x:c r="H37" s="227"/>
      <x:c r="I37" s="227"/>
      <x:c r="J37" s="227"/>
      <x:c r="K37" s="227"/>
      <x:c r="L37" s="227"/>
      <x:c r="M37" s="227"/>
      <x:c r="N37" s="227"/>
      <x:c r="O37" s="227"/>
    </x:row>
    <x:row r="38">
      <x:c r="A38" s="227"/>
      <x:c r="B38" s="227"/>
      <x:c r="C38" s="227"/>
      <x:c r="D38" s="227"/>
      <x:c r="E38" s="227"/>
      <x:c r="F38" s="227"/>
      <x:c r="G38" s="227"/>
      <x:c r="H38" s="227"/>
      <x:c r="I38" s="227"/>
      <x:c r="J38" s="227"/>
      <x:c r="K38" s="227"/>
      <x:c r="L38" s="227"/>
      <x:c r="M38" s="227"/>
      <x:c r="N38" s="227"/>
      <x:c r="O38" s="227"/>
    </x:row>
    <x:row r="39">
      <x:c r="A39" s="227"/>
      <x:c r="B39" s="227"/>
      <x:c r="C39" s="227"/>
      <x:c r="D39" s="227"/>
      <x:c r="E39" s="227"/>
      <x:c r="F39" s="227"/>
      <x:c r="G39" s="227"/>
      <x:c r="H39" s="227"/>
      <x:c r="I39" s="227"/>
      <x:c r="J39" s="227"/>
      <x:c r="K39" s="227"/>
      <x:c r="L39" s="227"/>
      <x:c r="M39" s="227"/>
      <x:c r="N39" s="227"/>
      <x:c r="O39" s="227"/>
    </x:row>
    <x:row r="40">
      <x:c r="A40" s="227"/>
      <x:c r="B40" s="227"/>
      <x:c r="C40" s="227"/>
      <x:c r="D40" s="227"/>
      <x:c r="E40" s="227"/>
      <x:c r="F40" s="227"/>
      <x:c r="G40" s="227"/>
      <x:c r="H40" s="227"/>
      <x:c r="I40" s="227"/>
      <x:c r="J40" s="227"/>
      <x:c r="K40" s="227"/>
      <x:c r="L40" s="227"/>
      <x:c r="M40" s="227"/>
      <x:c r="N40" s="227"/>
      <x:c r="O40" s="227"/>
    </x:row>
    <x:row r="41">
      <x:c r="A41" s="227"/>
      <x:c r="B41" s="227"/>
      <x:c r="C41" s="227"/>
      <x:c r="D41" s="227"/>
      <x:c r="E41" s="227"/>
      <x:c r="F41" s="227"/>
      <x:c r="G41" s="227"/>
      <x:c r="H41" s="227"/>
      <x:c r="I41" s="227"/>
      <x:c r="J41" s="227"/>
      <x:c r="K41" s="227"/>
      <x:c r="L41" s="227"/>
      <x:c r="M41" s="227"/>
      <x:c r="N41" s="227"/>
      <x:c r="O41" s="227"/>
    </x:row>
    <x:row r="42">
      <x:c r="A42" s="227"/>
      <x:c r="B42" s="227"/>
      <x:c r="C42" s="227"/>
      <x:c r="D42" s="227"/>
      <x:c r="E42" s="227"/>
      <x:c r="F42" s="227"/>
      <x:c r="G42" s="227"/>
      <x:c r="H42" s="227"/>
      <x:c r="I42" s="227"/>
      <x:c r="J42" s="227"/>
      <x:c r="K42" s="227"/>
      <x:c r="L42" s="227"/>
      <x:c r="M42" s="227"/>
      <x:c r="N42" s="227"/>
      <x:c r="O42" s="227"/>
    </x:row>
    <x:row r="43">
      <x:c r="A43" s="227"/>
      <x:c r="B43" s="227"/>
      <x:c r="C43" s="227"/>
      <x:c r="D43" s="227"/>
      <x:c r="E43" s="227"/>
      <x:c r="F43" s="227"/>
      <x:c r="G43" s="227"/>
      <x:c r="H43" s="227"/>
      <x:c r="I43" s="227"/>
      <x:c r="J43" s="227"/>
      <x:c r="K43" s="227"/>
      <x:c r="L43" s="227"/>
      <x:c r="M43" s="227"/>
      <x:c r="N43" s="227"/>
      <x:c r="O43" s="227"/>
    </x:row>
    <x:row r="44">
      <x:c r="A44" s="227"/>
      <x:c r="B44" s="227"/>
      <x:c r="C44" s="227"/>
      <x:c r="D44" s="227"/>
      <x:c r="E44" s="227"/>
      <x:c r="F44" s="227"/>
      <x:c r="G44" s="227"/>
      <x:c r="H44" s="227"/>
      <x:c r="I44" s="227"/>
      <x:c r="J44" s="227"/>
      <x:c r="K44" s="227"/>
      <x:c r="L44" s="227"/>
      <x:c r="M44" s="227"/>
      <x:c r="N44" s="227"/>
      <x:c r="O44" s="227"/>
    </x:row>
    <x:row r="45">
      <x:c r="A45" s="227"/>
      <x:c r="B45" s="227"/>
      <x:c r="C45" s="227"/>
      <x:c r="D45" s="227"/>
      <x:c r="E45" s="227"/>
      <x:c r="F45" s="227"/>
      <x:c r="G45" s="227"/>
      <x:c r="H45" s="227"/>
      <x:c r="I45" s="227"/>
      <x:c r="J45" s="227"/>
      <x:c r="K45" s="227"/>
      <x:c r="L45" s="227"/>
      <x:c r="M45" s="227"/>
      <x:c r="N45" s="227"/>
      <x:c r="O45" s="227"/>
    </x:row>
    <x:row r="46">
      <x:c r="A46" s="227"/>
      <x:c r="B46" s="227"/>
      <x:c r="C46" s="227"/>
      <x:c r="D46" s="227"/>
      <x:c r="E46" s="227"/>
      <x:c r="F46" s="227"/>
      <x:c r="G46" s="227"/>
      <x:c r="H46" s="227"/>
      <x:c r="I46" s="227"/>
      <x:c r="J46" s="227"/>
      <x:c r="K46" s="227"/>
      <x:c r="L46" s="227"/>
      <x:c r="M46" s="227"/>
      <x:c r="N46" s="227"/>
      <x:c r="O46" s="227"/>
    </x:row>
    <x:row r="47">
      <x:c r="A47" s="227"/>
      <x:c r="B47" s="227"/>
      <x:c r="C47" s="227"/>
      <x:c r="D47" s="227"/>
      <x:c r="E47" s="227"/>
      <x:c r="F47" s="227"/>
      <x:c r="G47" s="227"/>
      <x:c r="H47" s="227"/>
      <x:c r="I47" s="227"/>
      <x:c r="J47" s="227"/>
      <x:c r="K47" s="227"/>
      <x:c r="L47" s="227"/>
      <x:c r="M47" s="227"/>
      <x:c r="N47" s="227"/>
      <x:c r="O47" s="227"/>
    </x:row>
    <x:row r="48">
      <x:c r="A48" s="227"/>
      <x:c r="B48" s="227"/>
      <x:c r="C48" s="227"/>
      <x:c r="D48" s="227"/>
      <x:c r="E48" s="227"/>
      <x:c r="F48" s="227"/>
      <x:c r="G48" s="227"/>
      <x:c r="H48" s="227"/>
      <x:c r="I48" s="227"/>
      <x:c r="J48" s="227"/>
      <x:c r="K48" s="227"/>
      <x:c r="L48" s="227"/>
      <x:c r="M48" s="227"/>
      <x:c r="N48" s="227"/>
      <x:c r="O48" s="227"/>
    </x:row>
    <x:row r="49">
      <x:c r="A49" s="227"/>
      <x:c r="B49" s="227"/>
      <x:c r="C49" s="227"/>
      <x:c r="D49" s="227"/>
      <x:c r="E49" s="227"/>
      <x:c r="F49" s="227"/>
      <x:c r="G49" s="227"/>
      <x:c r="H49" s="227"/>
      <x:c r="I49" s="227"/>
      <x:c r="J49" s="227"/>
      <x:c r="K49" s="227"/>
      <x:c r="L49" s="227"/>
      <x:c r="M49" s="227"/>
      <x:c r="N49" s="227"/>
      <x:c r="O49" s="227"/>
    </x:row>
    <x:row r="50">
      <x:c r="A50" s="227"/>
      <x:c r="B50" s="227"/>
      <x:c r="C50" s="227"/>
      <x:c r="D50" s="227"/>
      <x:c r="E50" s="227"/>
      <x:c r="F50" s="227"/>
      <x:c r="G50" s="227"/>
      <x:c r="H50" s="227"/>
      <x:c r="I50" s="227"/>
      <x:c r="J50" s="227"/>
      <x:c r="K50" s="227"/>
      <x:c r="L50" s="227"/>
      <x:c r="M50" s="227"/>
      <x:c r="N50" s="227"/>
      <x:c r="O50" s="227"/>
    </x:row>
    <x:row r="51">
      <x:c r="A51" s="227"/>
      <x:c r="B51" s="227"/>
      <x:c r="C51" s="227"/>
      <x:c r="D51" s="227"/>
      <x:c r="E51" s="227"/>
      <x:c r="F51" s="227"/>
      <x:c r="G51" s="227"/>
      <x:c r="H51" s="227"/>
      <x:c r="I51" s="227"/>
      <x:c r="J51" s="227"/>
      <x:c r="K51" s="227"/>
      <x:c r="L51" s="227"/>
      <x:c r="M51" s="227"/>
      <x:c r="N51" s="227"/>
      <x:c r="O51" s="227"/>
    </x:row>
    <x:row r="52">
      <x:c r="A52" s="227"/>
      <x:c r="B52" s="227"/>
      <x:c r="C52" s="227"/>
      <x:c r="D52" s="227"/>
      <x:c r="E52" s="227"/>
      <x:c r="F52" s="227"/>
      <x:c r="G52" s="227"/>
      <x:c r="H52" s="227"/>
      <x:c r="I52" s="227"/>
      <x:c r="J52" s="227"/>
      <x:c r="K52" s="227"/>
      <x:c r="L52" s="227"/>
      <x:c r="M52" s="227"/>
      <x:c r="N52" s="227"/>
      <x:c r="O52" s="227"/>
    </x:row>
    <x:row r="53">
      <x:c r="A53" s="227"/>
      <x:c r="B53" s="227"/>
      <x:c r="C53" s="227"/>
      <x:c r="D53" s="227"/>
      <x:c r="E53" s="227"/>
      <x:c r="F53" s="227"/>
      <x:c r="G53" s="227"/>
      <x:c r="H53" s="227"/>
      <x:c r="I53" s="227"/>
      <x:c r="J53" s="227"/>
      <x:c r="K53" s="227"/>
      <x:c r="L53" s="227"/>
      <x:c r="M53" s="227"/>
      <x:c r="N53" s="227"/>
      <x:c r="O53" s="227"/>
    </x:row>
    <x:row r="54">
      <x:c r="A54" s="227"/>
      <x:c r="B54" s="227"/>
      <x:c r="C54" s="227"/>
      <x:c r="D54" s="227"/>
      <x:c r="E54" s="227"/>
      <x:c r="F54" s="227"/>
      <x:c r="G54" s="227"/>
      <x:c r="H54" s="227"/>
      <x:c r="I54" s="227"/>
      <x:c r="J54" s="227"/>
      <x:c r="K54" s="227"/>
      <x:c r="L54" s="227"/>
      <x:c r="M54" s="227"/>
      <x:c r="N54" s="227"/>
      <x:c r="O54" s="227"/>
    </x:row>
    <x:row r="55">
      <x:c r="A55" s="227"/>
      <x:c r="B55" s="227"/>
      <x:c r="C55" s="227"/>
      <x:c r="D55" s="227"/>
      <x:c r="E55" s="227"/>
      <x:c r="F55" s="227"/>
      <x:c r="G55" s="227"/>
      <x:c r="H55" s="227"/>
      <x:c r="I55" s="227"/>
      <x:c r="J55" s="227"/>
      <x:c r="K55" s="227"/>
      <x:c r="L55" s="227"/>
      <x:c r="M55" s="227"/>
      <x:c r="N55" s="227"/>
      <x:c r="O55" s="227"/>
    </x:row>
    <x:row r="56">
      <x:c r="A56" s="227"/>
      <x:c r="B56" s="227"/>
      <x:c r="C56" s="227"/>
      <x:c r="D56" s="227"/>
      <x:c r="E56" s="227"/>
      <x:c r="F56" s="227"/>
      <x:c r="G56" s="227"/>
      <x:c r="H56" s="227"/>
      <x:c r="I56" s="227"/>
      <x:c r="J56" s="227"/>
      <x:c r="K56" s="227"/>
      <x:c r="L56" s="227"/>
      <x:c r="M56" s="227"/>
      <x:c r="N56" s="227"/>
      <x:c r="O56" s="227"/>
    </x:row>
    <x:row r="57">
      <x:c r="A57" s="227"/>
      <x:c r="B57" s="227"/>
      <x:c r="C57" s="227"/>
      <x:c r="D57" s="227"/>
      <x:c r="E57" s="227"/>
      <x:c r="F57" s="227"/>
      <x:c r="G57" s="227"/>
      <x:c r="H57" s="227"/>
      <x:c r="I57" s="227"/>
      <x:c r="J57" s="227"/>
      <x:c r="K57" s="227"/>
      <x:c r="L57" s="227"/>
      <x:c r="M57" s="227"/>
      <x:c r="N57" s="227"/>
      <x:c r="O57" s="227"/>
    </x:row>
    <x:row r="58">
      <x:c r="A58" s="227"/>
      <x:c r="B58" s="227"/>
      <x:c r="C58" s="227"/>
      <x:c r="D58" s="227"/>
      <x:c r="E58" s="227"/>
      <x:c r="F58" s="227"/>
      <x:c r="G58" s="227"/>
      <x:c r="H58" s="227"/>
      <x:c r="I58" s="227"/>
      <x:c r="J58" s="227"/>
      <x:c r="K58" s="227"/>
      <x:c r="L58" s="227"/>
      <x:c r="M58" s="227"/>
      <x:c r="N58" s="227"/>
      <x:c r="O58" s="227"/>
    </x:row>
    <x:row r="59">
      <x:c r="A59" s="227"/>
      <x:c r="B59" s="227"/>
      <x:c r="C59" s="227"/>
      <x:c r="D59" s="227"/>
      <x:c r="E59" s="227"/>
      <x:c r="F59" s="227"/>
      <x:c r="G59" s="227"/>
      <x:c r="H59" s="227"/>
      <x:c r="I59" s="227"/>
      <x:c r="J59" s="227"/>
      <x:c r="K59" s="227"/>
      <x:c r="L59" s="227"/>
      <x:c r="M59" s="227"/>
      <x:c r="N59" s="227"/>
      <x:c r="O59" s="227"/>
    </x:row>
    <x:row r="60">
      <x:c r="A60" s="227"/>
      <x:c r="B60" s="227"/>
      <x:c r="C60" s="227"/>
      <x:c r="D60" s="227"/>
      <x:c r="E60" s="227"/>
      <x:c r="F60" s="227"/>
      <x:c r="G60" s="227"/>
      <x:c r="H60" s="227"/>
      <x:c r="I60" s="227"/>
      <x:c r="J60" s="227"/>
      <x:c r="K60" s="227"/>
      <x:c r="L60" s="227"/>
      <x:c r="M60" s="227"/>
      <x:c r="N60" s="227"/>
      <x:c r="O60" s="227"/>
    </x:row>
  </x:sheetData>
  <x:mergeCells>
    <x:mergeCell ref="A1:H1"/>
    <x:mergeCell ref="A2:H2"/>
    <x:mergeCell ref="A14:H14"/>
    <x:mergeCell ref="A20:H24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34" hidden="0" customWidth="1"/>
    <x:col min="4" max="4" width="42" hidden="0" customWidth="1"/>
    <x:col min="5" max="5" width="40" hidden="0" customWidth="1"/>
    <x:col min="6" max="6" width="16" hidden="0" customWidth="1"/>
  </x:cols>
  <x:sheetData>
    <x:row r="1" ht="28" customHeight="1">
      <x:c r="A1" s="319" t="str">
        <x:v>11 — Version &amp; Change Log</x:v>
      </x:c>
      <x:c r="B1" s="319"/>
      <x:c r="C1" s="319"/>
      <x:c r="D1" s="319"/>
      <x:c r="E1" s="319"/>
      <x:c r="F1" s="319"/>
    </x:row>
    <x:row r="2" ht="34" customHeight="1">
      <x:c r="A2" s="322" t="str">
        <x:v>Major model changes are logged so a reviewer can identify the current version, scope, evidence boundary and validation performed.</x:v>
      </x:c>
      <x:c r="B2" s="322"/>
      <x:c r="C2" s="322"/>
      <x:c r="D2" s="322"/>
      <x:c r="E2" s="322"/>
      <x:c r="F2" s="322"/>
    </x:row>
    <x:row r="4">
      <x:c r="A4" s="326" t="str">
        <x:v>Version</x:v>
      </x:c>
      <x:c r="B4" s="326" t="str">
        <x:v>Date</x:v>
      </x:c>
      <x:c r="C4" s="326" t="str">
        <x:v>Change</x:v>
      </x:c>
      <x:c r="D4" s="326" t="str">
        <x:v>Reason / Business Purpose</x:v>
      </x:c>
      <x:c r="E4" s="326" t="str">
        <x:v>Validation</x:v>
      </x:c>
      <x:c r="F4" s="326" t="str">
        <x:v>Status</x:v>
      </x:c>
    </x:row>
    <x:row r="5">
      <x:c r="A5" s="327" t="str">
        <x:v>v1.0.0</x:v>
      </x:c>
      <x:c r="B5" s="327" t="str">
        <x:v>2026-09-08</x:v>
      </x:c>
      <x:c r="C5" s="18" t="str">
        <x:v>Initial recruiter Excel model</x:v>
      </x:c>
      <x:c r="D5" s="18" t="str">
        <x:v>Demonstrate FP&amp;A / Commercial Finance Excel capability</x:v>
      </x:c>
      <x:c r="E5" s="18" t="str">
        <x:v>Core formulas and sheet structure reviewed</x:v>
      </x:c>
      <x:c r="F5" s="18" t="str">
        <x:v>SUPERSEDED</x:v>
      </x:c>
    </x:row>
    <x:row r="6">
      <x:c r="A6" s="327" t="str">
        <x:v>v1.1.0</x:v>
      </x:c>
      <x:c r="B6" s="327" t="str">
        <x:v>2026-09-08</x:v>
      </x:c>
      <x:c r="C6" s="18" t="str">
        <x:v>Added rolling-origin forecast evidence</x:v>
      </x:c>
      <x:c r="D6" s="18" t="str">
        <x:v>Show leakage-safe historical OOS forecast governance</x:v>
      </x:c>
      <x:c r="E6" s="18" t="str">
        <x:v>Bias / WAPE tables reconciled to governed project evidence</x:v>
      </x:c>
      <x:c r="F6" s="18" t="str">
        <x:v>SUPERSEDED</x:v>
      </x:c>
    </x:row>
    <x:row r="7">
      <x:c r="A7" s="327" t="str">
        <x:v>v1.2.0</x:v>
      </x:c>
      <x:c r="B7" s="327" t="str">
        <x:v>2026-09-10</x:v>
      </x:c>
      <x:c r="C7" s="18" t="str">
        <x:v>Professionalized workbook architecture + recruiter showcase</x:v>
      </x:c>
      <x:c r="D7" s="18" t="str">
        <x:v>Separate inputs/workings/outputs/controls; add downloadable public workbook and website showcase</x:v>
      </x:c>
      <x:c r="E7" s="18" t="str">
        <x:v>Formula error scan = 0; live controls PASS; preview review completed</x:v>
      </x:c>
      <x:c r="F7" s="18" t="str">
        <x:v>CURRENT</x:v>
      </x:c>
    </x:row>
    <x:row r="8">
      <x:c r="A8" s="327" t="str">
        <x:v>OPEN</x:v>
      </x:c>
      <x:c r="B8" s="327" t="str">
        <x:v>Future</x:v>
      </x:c>
      <x:c r="C8" s="18" t="str">
        <x:v>Live Gate A evidence</x:v>
      </x:c>
      <x:c r="D8" s="18" t="str">
        <x:v>Only when genuine pre-close frozen forecast + post-close actual are available</x:v>
      </x:c>
      <x:c r="E8" s="18" t="str">
        <x:v>Do not close with simulated evidence</x:v>
      </x:c>
      <x:c r="F8" s="18" t="str">
        <x:v>OPEN</x:v>
      </x:c>
    </x:row>
    <x:row r="10">
      <x:c r="A10" s="329" t="str">
        <x:v>MODEL HANDOVER CHECKLIST</x:v>
      </x:c>
      <x:c r="B10" s="329"/>
      <x:c r="C10" s="329"/>
      <x:c r="D10" s="329"/>
      <x:c r="E10" s="329"/>
      <x:c r="F10" s="329"/>
    </x:row>
    <x:row r="11">
      <x:c r="A11" s="331" t="str">
        <x:v>Check</x:v>
      </x:c>
      <x:c r="B11" s="331" t="str">
        <x:v>Owner</x:v>
      </x:c>
      <x:c r="C11" s="331" t="str">
        <x:v>Required</x:v>
      </x:c>
      <x:c r="D11" s="331" t="str">
        <x:v>Current</x:v>
      </x:c>
      <x:c r="E11" s="331" t="str">
        <x:v>Reviewer action</x:v>
      </x:c>
      <x:c r="F11" s="331" t="str">
        <x:v>Status</x:v>
      </x:c>
    </x:row>
    <x:row r="12">
      <x:c r="A12" s="18" t="str">
        <x:v>Inputs clearly separated</x:v>
      </x:c>
      <x:c r="B12" s="18" t="str">
        <x:v>Model owner</x:v>
      </x:c>
      <x:c r="C12" s="18" t="str">
        <x:v>Yes</x:v>
      </x:c>
      <x:c r="D12" s="18" t="str">
        <x:v>Blue hardcodes / dedicated assumption tab</x:v>
      </x:c>
      <x:c r="E12" s="18" t="str">
        <x:v>Inspect 01_Assumptions</x:v>
      </x:c>
      <x:c r="F12" s="18" t="str">
        <x:v>PASS</x:v>
      </x:c>
    </x:row>
    <x:row r="13">
      <x:c r="A13" s="18" t="str">
        <x:v>Formula / link convention</x:v>
      </x:c>
      <x:c r="B13" s="18" t="str">
        <x:v>Model owner</x:v>
      </x:c>
      <x:c r="C13" s="18" t="str">
        <x:v>Yes</x:v>
      </x:c>
      <x:c r="D13" s="18" t="str">
        <x:v>Black formulas / green cross-sheet links</x:v>
      </x:c>
      <x:c r="E13" s="18" t="str">
        <x:v>Inspect P&amp;L and scenario sheets</x:v>
      </x:c>
      <x:c r="F13" s="18" t="str">
        <x:v>PASS</x:v>
      </x:c>
    </x:row>
    <x:row r="14">
      <x:c r="A14" s="18" t="str">
        <x:v>Control sheet present</x:v>
      </x:c>
      <x:c r="B14" s="18" t="str">
        <x:v>Model owner</x:v>
      </x:c>
      <x:c r="C14" s="18" t="str">
        <x:v>Yes</x:v>
      </x:c>
      <x:c r="D14" s="18" t="str">
        <x:v>09_Controls with PASS / OPEN gates</x:v>
      </x:c>
      <x:c r="E14" s="18" t="str">
        <x:v>Review live checks</x:v>
      </x:c>
      <x:c r="F14" s="18" t="str">
        <x:v>PASS</x:v>
      </x:c>
    </x:row>
    <x:row r="15">
      <x:c r="A15" s="18" t="str">
        <x:v>Unsupported external claims blocked</x:v>
      </x:c>
      <x:c r="B15" s="18" t="str">
        <x:v>Model owner</x:v>
      </x:c>
      <x:c r="C15" s="18" t="str">
        <x:v>Yes</x:v>
      </x:c>
      <x:c r="D15" s="18" t="str">
        <x:v>Live Gate A remains OPEN</x:v>
      </x:c>
      <x:c r="E15" s="18" t="str">
        <x:v>Do not overwrite without genuine evidence</x:v>
      </x:c>
      <x:c r="F15" s="18" t="str">
        <x:v>PASS</x:v>
      </x:c>
    </x:row>
    <x:row r="17">
      <x:c r="A17" s="335" t="str">
        <x:v>Design reference: ICAEW Twenty Principles for Good Spreadsheet Practice — clear inputs/processes/outputs, controls, documentation and versioning. CFI FP&amp;A modelling guidance also recommends a meaningful version convention and change log. Sources: https://www.icaew.com/technical/technology/excel-community/20-principles-for-good-spreadsheet-practice-2024-edition | https://corporatefinanceinstitute.com/resources/fpa/fp-a-modeling-best-practices/</x:v>
      </x:c>
      <x:c r="B17" s="335"/>
      <x:c r="C17" s="335"/>
      <x:c r="D17" s="335"/>
      <x:c r="E17" s="335"/>
      <x:c r="F17" s="335"/>
    </x:row>
    <x:row r="18">
      <x:c r="A18" s="335"/>
      <x:c r="B18" s="335"/>
      <x:c r="C18" s="335"/>
      <x:c r="D18" s="335"/>
      <x:c r="E18" s="335"/>
      <x:c r="F18" s="335"/>
    </x:row>
  </x:sheetData>
  <x:mergeCells>
    <x:mergeCell ref="A1:F1"/>
    <x:mergeCell ref="A2:F2"/>
    <x:mergeCell ref="A10:F10"/>
    <x:mergeCell ref="A17:F18"/>
  </x:mergeCells>
  <x:conditionalFormatting sqref="F5:F8">
    <x:cfRule type="expression" dxfId="11" priority="1">
      <x:formula>F5="CURRENT"</x:formula>
    </x:cfRule>
    <x:cfRule type="expression" dxfId="12" priority="2">
      <x:formula>F5="OPEN"</x:formula>
    </x:cfRule>
  </x:conditionalFormatting>
  <x:conditionalFormatting sqref="F12:F15">
    <x:cfRule type="expression" dxfId="13" priority="3">
      <x:formula>F12="PASS"</x:formula>
    </x:cfRule>
  </x:conditionalFormatting>
  <x:pageMargins left="0.7" right="0.7" top="0.75" bottom="0.75" header="0.3" footer="0.3"/>
</x:worksheet>
</file>